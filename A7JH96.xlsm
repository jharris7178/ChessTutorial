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i\Downloads\"/>
    </mc:Choice>
  </mc:AlternateContent>
  <xr:revisionPtr revIDLastSave="0" documentId="13_ncr:1_{B5BAB236-DFA7-4EEB-9B69-C48CB0638C1D}" xr6:coauthVersionLast="43" xr6:coauthVersionMax="43" xr10:uidLastSave="{00000000-0000-0000-0000-000000000000}"/>
  <bookViews>
    <workbookView xWindow="-98" yWindow="-98" windowWidth="20715" windowHeight="13276" xr2:uid="{00000000-000D-0000-FFFF-FFFF00000000}"/>
  </bookViews>
  <sheets>
    <sheet name="Board" sheetId="1" r:id="rId1"/>
    <sheet name="Analysi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2" l="1"/>
  <c r="E10" i="2" s="1"/>
  <c r="C10" i="2" l="1"/>
  <c r="C9" i="2"/>
  <c r="M51" i="2" l="1"/>
  <c r="Q51" i="2"/>
  <c r="M52" i="2"/>
  <c r="Q52" i="2"/>
  <c r="Q17" i="2" s="1"/>
  <c r="Z17" i="2" s="1"/>
  <c r="F4" i="1" s="1"/>
  <c r="M53" i="2"/>
  <c r="Q53" i="2"/>
  <c r="M54" i="2"/>
  <c r="Q54" i="2"/>
  <c r="M55" i="2"/>
  <c r="Q55" i="2"/>
  <c r="M56" i="2"/>
  <c r="Q56" i="2"/>
  <c r="M57" i="2"/>
  <c r="Q57" i="2"/>
  <c r="N50" i="2"/>
  <c r="R50" i="2"/>
  <c r="N51" i="2"/>
  <c r="R51" i="2"/>
  <c r="N52" i="2"/>
  <c r="R52" i="2"/>
  <c r="N53" i="2"/>
  <c r="R53" i="2"/>
  <c r="N54" i="2"/>
  <c r="R54" i="2"/>
  <c r="N55" i="2"/>
  <c r="R55" i="2"/>
  <c r="N56" i="2"/>
  <c r="R56" i="2"/>
  <c r="N57" i="2"/>
  <c r="R57" i="2"/>
  <c r="O50" i="2"/>
  <c r="S50" i="2"/>
  <c r="S15" i="2" s="1"/>
  <c r="AB15" i="2" s="1"/>
  <c r="H2" i="1" s="1"/>
  <c r="O51" i="2"/>
  <c r="S51" i="2"/>
  <c r="O52" i="2"/>
  <c r="S52" i="2"/>
  <c r="O53" i="2"/>
  <c r="S53" i="2"/>
  <c r="O54" i="2"/>
  <c r="S54" i="2"/>
  <c r="O55" i="2"/>
  <c r="S55" i="2"/>
  <c r="O56" i="2"/>
  <c r="S56" i="2"/>
  <c r="O57" i="2"/>
  <c r="S57" i="2"/>
  <c r="P50" i="2"/>
  <c r="T50" i="2"/>
  <c r="P51" i="2"/>
  <c r="T51" i="2"/>
  <c r="P52" i="2"/>
  <c r="T52" i="2"/>
  <c r="P53" i="2"/>
  <c r="T53" i="2"/>
  <c r="P54" i="2"/>
  <c r="T54" i="2"/>
  <c r="P55" i="2"/>
  <c r="T55" i="2"/>
  <c r="P56" i="2"/>
  <c r="T56" i="2"/>
  <c r="P57" i="2"/>
  <c r="T57" i="2"/>
  <c r="Q50" i="2"/>
  <c r="E25" i="2"/>
  <c r="I25" i="2"/>
  <c r="E26" i="2"/>
  <c r="I26" i="2"/>
  <c r="E27" i="2"/>
  <c r="I27" i="2"/>
  <c r="E28" i="2"/>
  <c r="I28" i="2"/>
  <c r="E29" i="2"/>
  <c r="I29" i="2"/>
  <c r="E30" i="2"/>
  <c r="I30" i="2"/>
  <c r="E31" i="2"/>
  <c r="I31" i="2"/>
  <c r="E32" i="2"/>
  <c r="I32" i="2"/>
  <c r="O25" i="2"/>
  <c r="S25" i="2"/>
  <c r="O26" i="2"/>
  <c r="S26" i="2"/>
  <c r="O27" i="2"/>
  <c r="S27" i="2"/>
  <c r="O28" i="2"/>
  <c r="S28" i="2"/>
  <c r="O29" i="2"/>
  <c r="S29" i="2"/>
  <c r="O30" i="2"/>
  <c r="S30" i="2"/>
  <c r="O31" i="2"/>
  <c r="S31" i="2"/>
  <c r="O32" i="2"/>
  <c r="S32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F25" i="2"/>
  <c r="J25" i="2"/>
  <c r="F26" i="2"/>
  <c r="J26" i="2"/>
  <c r="F27" i="2"/>
  <c r="J27" i="2"/>
  <c r="F28" i="2"/>
  <c r="J28" i="2"/>
  <c r="F29" i="2"/>
  <c r="J29" i="2"/>
  <c r="F30" i="2"/>
  <c r="J30" i="2"/>
  <c r="F31" i="2"/>
  <c r="J31" i="2"/>
  <c r="F32" i="2"/>
  <c r="J32" i="2"/>
  <c r="P25" i="2"/>
  <c r="T25" i="2"/>
  <c r="P26" i="2"/>
  <c r="T26" i="2"/>
  <c r="P27" i="2"/>
  <c r="T27" i="2"/>
  <c r="P28" i="2"/>
  <c r="T28" i="2"/>
  <c r="P29" i="2"/>
  <c r="T29" i="2"/>
  <c r="P30" i="2"/>
  <c r="T30" i="2"/>
  <c r="P31" i="2"/>
  <c r="T31" i="2"/>
  <c r="P32" i="2"/>
  <c r="T32" i="2"/>
  <c r="F37" i="2"/>
  <c r="J37" i="2"/>
  <c r="F38" i="2"/>
  <c r="J38" i="2"/>
  <c r="F39" i="2"/>
  <c r="N26" i="2"/>
  <c r="N27" i="2"/>
  <c r="N28" i="2"/>
  <c r="N29" i="2"/>
  <c r="N30" i="2"/>
  <c r="N32" i="2"/>
  <c r="D38" i="2"/>
  <c r="H40" i="2"/>
  <c r="C42" i="2"/>
  <c r="C44" i="2"/>
  <c r="G25" i="2"/>
  <c r="G26" i="2"/>
  <c r="G27" i="2"/>
  <c r="G28" i="2"/>
  <c r="G29" i="2"/>
  <c r="G30" i="2"/>
  <c r="G31" i="2"/>
  <c r="G32" i="2"/>
  <c r="Q25" i="2"/>
  <c r="Q26" i="2"/>
  <c r="Q27" i="2"/>
  <c r="Q28" i="2"/>
  <c r="Q29" i="2"/>
  <c r="Q30" i="2"/>
  <c r="Q31" i="2"/>
  <c r="Q32" i="2"/>
  <c r="G37" i="2"/>
  <c r="G38" i="2"/>
  <c r="G39" i="2"/>
  <c r="D40" i="2"/>
  <c r="J40" i="2"/>
  <c r="G41" i="2"/>
  <c r="D42" i="2"/>
  <c r="J42" i="2"/>
  <c r="G43" i="2"/>
  <c r="D44" i="2"/>
  <c r="J44" i="2"/>
  <c r="H25" i="2"/>
  <c r="H26" i="2"/>
  <c r="H27" i="2"/>
  <c r="H28" i="2"/>
  <c r="H29" i="2"/>
  <c r="H30" i="2"/>
  <c r="H31" i="2"/>
  <c r="H32" i="2"/>
  <c r="R25" i="2"/>
  <c r="R26" i="2"/>
  <c r="R27" i="2"/>
  <c r="R28" i="2"/>
  <c r="R29" i="2"/>
  <c r="R30" i="2"/>
  <c r="R31" i="2"/>
  <c r="R32" i="2"/>
  <c r="H37" i="2"/>
  <c r="H38" i="2"/>
  <c r="H39" i="2"/>
  <c r="F40" i="2"/>
  <c r="C41" i="2"/>
  <c r="H41" i="2"/>
  <c r="F42" i="2"/>
  <c r="C43" i="2"/>
  <c r="H43" i="2"/>
  <c r="F44" i="2"/>
  <c r="C26" i="2"/>
  <c r="C27" i="2"/>
  <c r="C28" i="2"/>
  <c r="C29" i="2"/>
  <c r="C30" i="2"/>
  <c r="C31" i="2"/>
  <c r="C32" i="2"/>
  <c r="M26" i="2"/>
  <c r="M27" i="2"/>
  <c r="M17" i="2" s="1"/>
  <c r="V17" i="2" s="1"/>
  <c r="B4" i="1" s="1"/>
  <c r="M28" i="2"/>
  <c r="M29" i="2"/>
  <c r="M30" i="2"/>
  <c r="M31" i="2"/>
  <c r="M21" i="2" s="1"/>
  <c r="V21" i="2" s="1"/>
  <c r="B8" i="1" s="1"/>
  <c r="M32" i="2"/>
  <c r="C38" i="2"/>
  <c r="C39" i="2"/>
  <c r="J39" i="2"/>
  <c r="G40" i="2"/>
  <c r="D41" i="2"/>
  <c r="J41" i="2"/>
  <c r="G42" i="2"/>
  <c r="D43" i="2"/>
  <c r="J43" i="2"/>
  <c r="G44" i="2"/>
  <c r="D25" i="2"/>
  <c r="D26" i="2"/>
  <c r="D27" i="2"/>
  <c r="D28" i="2"/>
  <c r="D29" i="2"/>
  <c r="D30" i="2"/>
  <c r="D31" i="2"/>
  <c r="D32" i="2"/>
  <c r="N25" i="2"/>
  <c r="N31" i="2"/>
  <c r="D37" i="2"/>
  <c r="D39" i="2"/>
  <c r="C40" i="2"/>
  <c r="F41" i="2"/>
  <c r="H42" i="2"/>
  <c r="F43" i="2"/>
  <c r="H44" i="2"/>
  <c r="C51" i="2"/>
  <c r="G51" i="2"/>
  <c r="C52" i="2"/>
  <c r="G52" i="2"/>
  <c r="C53" i="2"/>
  <c r="G53" i="2"/>
  <c r="C54" i="2"/>
  <c r="G54" i="2"/>
  <c r="Q19" i="2" s="1"/>
  <c r="Z19" i="2" s="1"/>
  <c r="F6" i="1" s="1"/>
  <c r="C55" i="2"/>
  <c r="G55" i="2"/>
  <c r="C56" i="2"/>
  <c r="G56" i="2"/>
  <c r="C57" i="2"/>
  <c r="G57" i="2"/>
  <c r="D50" i="2"/>
  <c r="H50" i="2"/>
  <c r="D51" i="2"/>
  <c r="H51" i="2"/>
  <c r="D52" i="2"/>
  <c r="H52" i="2"/>
  <c r="D53" i="2"/>
  <c r="H53" i="2"/>
  <c r="D54" i="2"/>
  <c r="H54" i="2"/>
  <c r="D55" i="2"/>
  <c r="H55" i="2"/>
  <c r="D56" i="2"/>
  <c r="H56" i="2"/>
  <c r="D57" i="2"/>
  <c r="H57" i="2"/>
  <c r="E50" i="2"/>
  <c r="I50" i="2"/>
  <c r="I51" i="2"/>
  <c r="I52" i="2"/>
  <c r="I53" i="2"/>
  <c r="I54" i="2"/>
  <c r="I55" i="2"/>
  <c r="I56" i="2"/>
  <c r="I57" i="2"/>
  <c r="J50" i="2"/>
  <c r="E51" i="2"/>
  <c r="E53" i="2"/>
  <c r="E54" i="2"/>
  <c r="E56" i="2"/>
  <c r="F50" i="2"/>
  <c r="F52" i="2"/>
  <c r="F54" i="2"/>
  <c r="F56" i="2"/>
  <c r="G50" i="2"/>
  <c r="J51" i="2"/>
  <c r="J52" i="2"/>
  <c r="J53" i="2"/>
  <c r="J54" i="2"/>
  <c r="J55" i="2"/>
  <c r="J56" i="2"/>
  <c r="J57" i="2"/>
  <c r="E52" i="2"/>
  <c r="E55" i="2"/>
  <c r="E57" i="2"/>
  <c r="F51" i="2"/>
  <c r="F53" i="2"/>
  <c r="F55" i="2"/>
  <c r="F57" i="2"/>
  <c r="M38" i="2"/>
  <c r="Q38" i="2"/>
  <c r="M39" i="2"/>
  <c r="Q39" i="2"/>
  <c r="M40" i="2"/>
  <c r="Q40" i="2"/>
  <c r="M41" i="2"/>
  <c r="Q41" i="2"/>
  <c r="M42" i="2"/>
  <c r="Q42" i="2"/>
  <c r="M43" i="2"/>
  <c r="Q43" i="2"/>
  <c r="M44" i="2"/>
  <c r="Q44" i="2"/>
  <c r="N37" i="2"/>
  <c r="R37" i="2"/>
  <c r="M16" i="2"/>
  <c r="V16" i="2" s="1"/>
  <c r="B3" i="1" s="1"/>
  <c r="Q18" i="2"/>
  <c r="Z18" i="2" s="1"/>
  <c r="F5" i="1" s="1"/>
  <c r="N38" i="2"/>
  <c r="R38" i="2"/>
  <c r="N39" i="2"/>
  <c r="R39" i="2"/>
  <c r="N40" i="2"/>
  <c r="R40" i="2"/>
  <c r="N41" i="2"/>
  <c r="R41" i="2"/>
  <c r="N42" i="2"/>
  <c r="R42" i="2"/>
  <c r="N43" i="2"/>
  <c r="N21" i="2" s="1"/>
  <c r="W21" i="2" s="1"/>
  <c r="C8" i="1" s="1"/>
  <c r="R43" i="2"/>
  <c r="N44" i="2"/>
  <c r="R44" i="2"/>
  <c r="O37" i="2"/>
  <c r="S37" i="2"/>
  <c r="O38" i="2"/>
  <c r="S38" i="2"/>
  <c r="O39" i="2"/>
  <c r="S39" i="2"/>
  <c r="O40" i="2"/>
  <c r="S40" i="2"/>
  <c r="O41" i="2"/>
  <c r="S41" i="2"/>
  <c r="O42" i="2"/>
  <c r="S42" i="2"/>
  <c r="O43" i="2"/>
  <c r="S43" i="2"/>
  <c r="O44" i="2"/>
  <c r="S44" i="2"/>
  <c r="P37" i="2"/>
  <c r="T37" i="2"/>
  <c r="P38" i="2"/>
  <c r="P40" i="2"/>
  <c r="P18" i="2" s="1"/>
  <c r="Y18" i="2" s="1"/>
  <c r="E5" i="1" s="1"/>
  <c r="P42" i="2"/>
  <c r="P44" i="2"/>
  <c r="P41" i="2"/>
  <c r="T39" i="2"/>
  <c r="T38" i="2"/>
  <c r="T40" i="2"/>
  <c r="T42" i="2"/>
  <c r="T44" i="2"/>
  <c r="P39" i="2"/>
  <c r="P43" i="2"/>
  <c r="Q37" i="2"/>
  <c r="T41" i="2"/>
  <c r="T43" i="2"/>
  <c r="O22" i="2" l="1"/>
  <c r="X22" i="2" s="1"/>
  <c r="D9" i="1" s="1"/>
  <c r="T16" i="2"/>
  <c r="AC16" i="2" s="1"/>
  <c r="I3" i="1" s="1"/>
  <c r="S22" i="2"/>
  <c r="AB22" i="2" s="1"/>
  <c r="H9" i="1" s="1"/>
  <c r="S18" i="2"/>
  <c r="AB18" i="2" s="1"/>
  <c r="H5" i="1" s="1"/>
  <c r="N19" i="2"/>
  <c r="W19" i="2" s="1"/>
  <c r="C6" i="1" s="1"/>
  <c r="N20" i="2"/>
  <c r="W20" i="2" s="1"/>
  <c r="C7" i="1" s="1"/>
  <c r="P19" i="2"/>
  <c r="Y19" i="2" s="1"/>
  <c r="E6" i="1" s="1"/>
  <c r="O21" i="2"/>
  <c r="X21" i="2" s="1"/>
  <c r="D8" i="1" s="1"/>
  <c r="T22" i="2"/>
  <c r="AC22" i="2" s="1"/>
  <c r="I9" i="1" s="1"/>
  <c r="R17" i="2"/>
  <c r="AA17" i="2" s="1"/>
  <c r="G4" i="1" s="1"/>
  <c r="Q16" i="2"/>
  <c r="Z16" i="2" s="1"/>
  <c r="F3" i="1" s="1"/>
  <c r="O19" i="2"/>
  <c r="X19" i="2" s="1"/>
  <c r="D6" i="1" s="1"/>
  <c r="O17" i="2"/>
  <c r="X17" i="2" s="1"/>
  <c r="D4" i="1" s="1"/>
  <c r="O15" i="2"/>
  <c r="X15" i="2" s="1"/>
  <c r="D2" i="1" s="1"/>
  <c r="P15" i="2"/>
  <c r="Y15" i="2" s="1"/>
  <c r="E2" i="1" s="1"/>
  <c r="M20" i="2"/>
  <c r="V20" i="2" s="1"/>
  <c r="B7" i="1" s="1"/>
  <c r="N22" i="2"/>
  <c r="W22" i="2" s="1"/>
  <c r="C9" i="1" s="1"/>
  <c r="R15" i="2"/>
  <c r="AA15" i="2" s="1"/>
  <c r="G2" i="1" s="1"/>
  <c r="Q20" i="2"/>
  <c r="Z20" i="2" s="1"/>
  <c r="F7" i="1" s="1"/>
  <c r="M19" i="2"/>
  <c r="V19" i="2" s="1"/>
  <c r="B6" i="1" s="1"/>
  <c r="M18" i="2"/>
  <c r="V18" i="2" s="1"/>
  <c r="B5" i="1" s="1"/>
  <c r="R19" i="2"/>
  <c r="AA19" i="2" s="1"/>
  <c r="G6" i="1" s="1"/>
  <c r="N16" i="2"/>
  <c r="W16" i="2" s="1"/>
  <c r="C3" i="1" s="1"/>
  <c r="S20" i="2"/>
  <c r="AB20" i="2" s="1"/>
  <c r="H7" i="1" s="1"/>
  <c r="S16" i="2"/>
  <c r="AB16" i="2" s="1"/>
  <c r="H3" i="1" s="1"/>
  <c r="S17" i="2"/>
  <c r="AB17" i="2" s="1"/>
  <c r="H4" i="1" s="1"/>
  <c r="T21" i="2"/>
  <c r="AC21" i="2" s="1"/>
  <c r="I8" i="1" s="1"/>
  <c r="N15" i="2"/>
  <c r="W15" i="2" s="1"/>
  <c r="C2" i="1" s="1"/>
  <c r="N18" i="2"/>
  <c r="W18" i="2" s="1"/>
  <c r="C5" i="1" s="1"/>
  <c r="Q21" i="2"/>
  <c r="Z21" i="2" s="1"/>
  <c r="F8" i="1" s="1"/>
  <c r="N17" i="2"/>
  <c r="W17" i="2" s="1"/>
  <c r="C4" i="1" s="1"/>
  <c r="Q22" i="2"/>
  <c r="Z22" i="2" s="1"/>
  <c r="F9" i="1" s="1"/>
  <c r="R21" i="2"/>
  <c r="AA21" i="2" s="1"/>
  <c r="G8" i="1" s="1"/>
  <c r="T20" i="2"/>
  <c r="AC20" i="2" s="1"/>
  <c r="I7" i="1" s="1"/>
  <c r="M22" i="2"/>
  <c r="V22" i="2" s="1"/>
  <c r="B9" i="1" s="1"/>
  <c r="P16" i="2"/>
  <c r="Y16" i="2" s="1"/>
  <c r="E3" i="1" s="1"/>
  <c r="O20" i="2"/>
  <c r="X20" i="2" s="1"/>
  <c r="D7" i="1" s="1"/>
  <c r="O16" i="2"/>
  <c r="X16" i="2" s="1"/>
  <c r="D3" i="1" s="1"/>
  <c r="S21" i="2"/>
  <c r="AB21" i="2" s="1"/>
  <c r="H8" i="1" s="1"/>
  <c r="T19" i="2"/>
  <c r="AC19" i="2" s="1"/>
  <c r="I6" i="1" s="1"/>
  <c r="Q15" i="2"/>
  <c r="Z15" i="2" s="1"/>
  <c r="F2" i="1" s="1"/>
  <c r="P17" i="2"/>
  <c r="Y17" i="2" s="1"/>
  <c r="E4" i="1" s="1"/>
  <c r="P21" i="2"/>
  <c r="Y21" i="2" s="1"/>
  <c r="E8" i="1" s="1"/>
  <c r="T18" i="2"/>
  <c r="AC18" i="2" s="1"/>
  <c r="I5" i="1" s="1"/>
  <c r="P20" i="2"/>
  <c r="Y20" i="2" s="1"/>
  <c r="E7" i="1" s="1"/>
  <c r="P22" i="2"/>
  <c r="Y22" i="2" s="1"/>
  <c r="E9" i="1" s="1"/>
  <c r="T17" i="2"/>
  <c r="AC17" i="2" s="1"/>
  <c r="I4" i="1" s="1"/>
  <c r="R22" i="2"/>
  <c r="AA22" i="2" s="1"/>
  <c r="G9" i="1" s="1"/>
  <c r="R20" i="2"/>
  <c r="AA20" i="2" s="1"/>
  <c r="G7" i="1" s="1"/>
  <c r="R18" i="2"/>
  <c r="AA18" i="2" s="1"/>
  <c r="G5" i="1" s="1"/>
  <c r="R16" i="2"/>
  <c r="AA16" i="2" s="1"/>
  <c r="G3" i="1" s="1"/>
  <c r="T15" i="2"/>
  <c r="AC15" i="2" s="1"/>
  <c r="I2" i="1" s="1"/>
  <c r="S19" i="2"/>
  <c r="AB19" i="2" s="1"/>
  <c r="H6" i="1" s="1"/>
  <c r="O18" i="2"/>
  <c r="X18" i="2" s="1"/>
  <c r="D5" i="1" s="1"/>
  <c r="C50" i="2" l="1"/>
  <c r="C37" i="2"/>
  <c r="M50" i="2"/>
  <c r="M37" i="2"/>
  <c r="M25" i="2"/>
  <c r="C25" i="2"/>
  <c r="M15" i="2" l="1"/>
  <c r="V15" i="2" s="1"/>
  <c r="B2" i="1" s="1"/>
</calcChain>
</file>

<file path=xl/sharedStrings.xml><?xml version="1.0" encoding="utf-8"?>
<sst xmlns="http://schemas.openxmlformats.org/spreadsheetml/2006/main" count="188" uniqueCount="102">
  <si>
    <t>Piece:</t>
  </si>
  <si>
    <t>Pawn</t>
  </si>
  <si>
    <t>Bishop</t>
  </si>
  <si>
    <t>Knight</t>
  </si>
  <si>
    <t>Rook</t>
  </si>
  <si>
    <t>Queen</t>
  </si>
  <si>
    <t>King</t>
  </si>
  <si>
    <t>A</t>
  </si>
  <si>
    <t>B</t>
  </si>
  <si>
    <t>C</t>
  </si>
  <si>
    <t>D</t>
  </si>
  <si>
    <t>E</t>
  </si>
  <si>
    <t>F</t>
  </si>
  <si>
    <t>G</t>
  </si>
  <si>
    <t>H</t>
  </si>
  <si>
    <t>Given:</t>
  </si>
  <si>
    <t>List:</t>
  </si>
  <si>
    <t>B1</t>
  </si>
  <si>
    <t>B2</t>
  </si>
  <si>
    <t>B4</t>
  </si>
  <si>
    <t>B5</t>
  </si>
  <si>
    <t>B6</t>
  </si>
  <si>
    <t>B7</t>
  </si>
  <si>
    <t>B8</t>
  </si>
  <si>
    <t>A3</t>
  </si>
  <si>
    <t>C3</t>
  </si>
  <si>
    <t>E3</t>
  </si>
  <si>
    <t>F3</t>
  </si>
  <si>
    <t>G3</t>
  </si>
  <si>
    <t>H3</t>
  </si>
  <si>
    <t>D3</t>
  </si>
  <si>
    <t>Rank:</t>
  </si>
  <si>
    <t>File:</t>
  </si>
  <si>
    <t>Rank</t>
  </si>
  <si>
    <t>File</t>
  </si>
  <si>
    <t>Actual Cell Reference:</t>
  </si>
  <si>
    <t>C2</t>
  </si>
  <si>
    <t>D2</t>
  </si>
  <si>
    <t>E2</t>
  </si>
  <si>
    <t>F2</t>
  </si>
  <si>
    <t>H2</t>
  </si>
  <si>
    <t>G2</t>
  </si>
  <si>
    <t>H4</t>
  </si>
  <si>
    <t>H5</t>
  </si>
  <si>
    <t>H6</t>
  </si>
  <si>
    <t>H7</t>
  </si>
  <si>
    <t>H8</t>
  </si>
  <si>
    <t>G4</t>
  </si>
  <si>
    <t>G5</t>
  </si>
  <si>
    <t>G6</t>
  </si>
  <si>
    <t>G7</t>
  </si>
  <si>
    <t>G8</t>
  </si>
  <si>
    <t>F4</t>
  </si>
  <si>
    <t>F5</t>
  </si>
  <si>
    <t>F6</t>
  </si>
  <si>
    <t>F7</t>
  </si>
  <si>
    <t>F8</t>
  </si>
  <si>
    <t>E4</t>
  </si>
  <si>
    <t>E5</t>
  </si>
  <si>
    <t>E6</t>
  </si>
  <si>
    <t>E7</t>
  </si>
  <si>
    <t>E8</t>
  </si>
  <si>
    <t>D4</t>
  </si>
  <si>
    <t>D5</t>
  </si>
  <si>
    <t>D6</t>
  </si>
  <si>
    <t>D7</t>
  </si>
  <si>
    <t>D8</t>
  </si>
  <si>
    <t>C4</t>
  </si>
  <si>
    <t>C5</t>
  </si>
  <si>
    <t>C6</t>
  </si>
  <si>
    <t>C7</t>
  </si>
  <si>
    <t>C8</t>
  </si>
  <si>
    <t>B3</t>
  </si>
  <si>
    <t>A8</t>
  </si>
  <si>
    <t>A7</t>
  </si>
  <si>
    <t>A6</t>
  </si>
  <si>
    <t>A5</t>
  </si>
  <si>
    <t>A4</t>
  </si>
  <si>
    <t>A2</t>
  </si>
  <si>
    <t>A1</t>
  </si>
  <si>
    <t>C1</t>
  </si>
  <si>
    <t>D1</t>
  </si>
  <si>
    <t>F1</t>
  </si>
  <si>
    <t>E1</t>
  </si>
  <si>
    <t>G1</t>
  </si>
  <si>
    <t>H1</t>
  </si>
  <si>
    <t>Actual Cell Reference</t>
  </si>
  <si>
    <t>reference</t>
  </si>
  <si>
    <t>ROOK</t>
  </si>
  <si>
    <t>PAWN</t>
  </si>
  <si>
    <t>BISHOP</t>
  </si>
  <si>
    <t>KING</t>
  </si>
  <si>
    <t>Chess Location:</t>
  </si>
  <si>
    <t>M</t>
  </si>
  <si>
    <t>N</t>
  </si>
  <si>
    <t>O</t>
  </si>
  <si>
    <t>P</t>
  </si>
  <si>
    <t>Q</t>
  </si>
  <si>
    <t>S</t>
  </si>
  <si>
    <t>T</t>
  </si>
  <si>
    <t>R</t>
  </si>
  <si>
    <t>Starting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</si>
</sst>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6" x14ac:knownFonts="1">
    <font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966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0" fillId="0" borderId="17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5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3" fillId="0" borderId="23" xfId="0" applyNumberFormat="1" applyFont="1" applyBorder="1" applyAlignment="1">
      <alignment horizontal="center" vertical="center"/>
    </xf>
    <xf numFmtId="164" fontId="3" fillId="3" borderId="2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Analysis!$E$2" fmlaRange="Analysis!$H$3:$H$10" noThreeD="1" sel="3" val="0"/>
</file>

<file path=xl/ctrlProps/ctrlProp2.xml><?xml version="1.0" encoding="utf-8"?>
<formControlPr xmlns="http://schemas.microsoft.com/office/spreadsheetml/2009/9/main" objectType="Drop" dropStyle="combo" dx="16" fmlaLink="Analysis!$F$1" fmlaRange="Analysis!$I$3:$I$10" noThreeD="1" sel="5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2</xdr:row>
          <xdr:rowOff>142875</xdr:rowOff>
        </xdr:from>
        <xdr:to>
          <xdr:col>12</xdr:col>
          <xdr:colOff>228600</xdr:colOff>
          <xdr:row>3</xdr:row>
          <xdr:rowOff>114300</xdr:rowOff>
        </xdr:to>
        <xdr:sp macro="" textlink="">
          <xdr:nvSpPr>
            <xdr:cNvPr id="1032" name="Pawn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4</xdr:row>
          <xdr:rowOff>200025</xdr:rowOff>
        </xdr:from>
        <xdr:to>
          <xdr:col>12</xdr:col>
          <xdr:colOff>190500</xdr:colOff>
          <xdr:row>5</xdr:row>
          <xdr:rowOff>142875</xdr:rowOff>
        </xdr:to>
        <xdr:sp macro="" textlink="">
          <xdr:nvSpPr>
            <xdr:cNvPr id="1033" name="KnightW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3</xdr:row>
          <xdr:rowOff>209550</xdr:rowOff>
        </xdr:from>
        <xdr:to>
          <xdr:col>12</xdr:col>
          <xdr:colOff>200025</xdr:colOff>
          <xdr:row>4</xdr:row>
          <xdr:rowOff>123825</xdr:rowOff>
        </xdr:to>
        <xdr:sp macro="" textlink="">
          <xdr:nvSpPr>
            <xdr:cNvPr id="1034" name="BishopW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5</xdr:row>
          <xdr:rowOff>247650</xdr:rowOff>
        </xdr:from>
        <xdr:to>
          <xdr:col>12</xdr:col>
          <xdr:colOff>219075</xdr:colOff>
          <xdr:row>6</xdr:row>
          <xdr:rowOff>190500</xdr:rowOff>
        </xdr:to>
        <xdr:sp macro="" textlink="">
          <xdr:nvSpPr>
            <xdr:cNvPr id="1035" name="RookW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6</xdr:row>
          <xdr:rowOff>285750</xdr:rowOff>
        </xdr:from>
        <xdr:to>
          <xdr:col>12</xdr:col>
          <xdr:colOff>219075</xdr:colOff>
          <xdr:row>7</xdr:row>
          <xdr:rowOff>190500</xdr:rowOff>
        </xdr:to>
        <xdr:sp macro="" textlink="">
          <xdr:nvSpPr>
            <xdr:cNvPr id="1036" name="QueenW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7</xdr:row>
          <xdr:rowOff>228600</xdr:rowOff>
        </xdr:from>
        <xdr:to>
          <xdr:col>12</xdr:col>
          <xdr:colOff>200025</xdr:colOff>
          <xdr:row>8</xdr:row>
          <xdr:rowOff>142875</xdr:rowOff>
        </xdr:to>
        <xdr:sp macro="" textlink="">
          <xdr:nvSpPr>
            <xdr:cNvPr id="1037" name="King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333375</xdr:rowOff>
        </xdr:from>
        <xdr:to>
          <xdr:col>18</xdr:col>
          <xdr:colOff>19050</xdr:colOff>
          <xdr:row>1</xdr:row>
          <xdr:rowOff>619125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2</xdr:row>
          <xdr:rowOff>342900</xdr:rowOff>
        </xdr:from>
        <xdr:to>
          <xdr:col>18</xdr:col>
          <xdr:colOff>9525</xdr:colOff>
          <xdr:row>2</xdr:row>
          <xdr:rowOff>609600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"/>
  <sheetViews>
    <sheetView showGridLines="0" showRowColHeaders="0" tabSelected="1" zoomScale="75" zoomScaleNormal="85" workbookViewId="0">
      <selection activeCell="Q6" sqref="Q6"/>
    </sheetView>
  </sheetViews>
  <sheetFormatPr defaultRowHeight="14.25" x14ac:dyDescent="0.45"/>
  <cols>
    <col min="11" max="11" width="10" bestFit="1" customWidth="1"/>
  </cols>
  <sheetData>
    <row r="1" spans="1:16" ht="58.5" customHeight="1" thickBot="1" x14ac:dyDescent="0.5"/>
    <row r="2" spans="1:16" ht="51" customHeight="1" thickTop="1" thickBot="1" x14ac:dyDescent="0.95">
      <c r="A2" s="6">
        <v>8</v>
      </c>
      <c r="B2" s="35" t="b">
        <f ca="1">Analysis!V15</f>
        <v>0</v>
      </c>
      <c r="C2" s="36" t="b">
        <f ca="1">Analysis!W15</f>
        <v>0</v>
      </c>
      <c r="D2" s="35" t="b">
        <f ca="1">Analysis!X15</f>
        <v>0</v>
      </c>
      <c r="E2" s="36" t="b">
        <f ca="1">Analysis!Y15</f>
        <v>0</v>
      </c>
      <c r="F2" s="35" t="b">
        <f ca="1">Analysis!Z15</f>
        <v>0</v>
      </c>
      <c r="G2" s="36" t="b">
        <f ca="1">Analysis!AA15</f>
        <v>0</v>
      </c>
      <c r="H2" s="35" t="b">
        <f ca="1">Analysis!AB15</f>
        <v>0</v>
      </c>
      <c r="I2" s="36" t="b">
        <f ca="1">Analysis!AC15</f>
        <v>0</v>
      </c>
      <c r="K2" s="1"/>
      <c r="P2" s="31" t="s">
        <v>31</v>
      </c>
    </row>
    <row r="3" spans="1:16" ht="51" customHeight="1" thickTop="1" thickBot="1" x14ac:dyDescent="0.95">
      <c r="A3" s="6">
        <v>7</v>
      </c>
      <c r="B3" s="36" t="b">
        <f ca="1">Analysis!V16</f>
        <v>1</v>
      </c>
      <c r="C3" s="35" t="b">
        <f ca="1">Analysis!W16</f>
        <v>0</v>
      </c>
      <c r="D3" s="36" t="b">
        <f ca="1">Analysis!X16</f>
        <v>0</v>
      </c>
      <c r="E3" s="35" t="b">
        <f ca="1">Analysis!Y16</f>
        <v>0</v>
      </c>
      <c r="F3" s="36" t="b">
        <f ca="1">Analysis!Z16</f>
        <v>0</v>
      </c>
      <c r="G3" s="35" t="b">
        <f ca="1">Analysis!AA16</f>
        <v>0</v>
      </c>
      <c r="H3" s="36" t="b">
        <f ca="1">Analysis!AB16</f>
        <v>0</v>
      </c>
      <c r="I3" s="35" t="b">
        <f ca="1">Analysis!AC16</f>
        <v>0</v>
      </c>
      <c r="K3" s="4" t="s">
        <v>1</v>
      </c>
      <c r="P3" s="31" t="s">
        <v>32</v>
      </c>
    </row>
    <row r="4" spans="1:16" ht="51" customHeight="1" thickTop="1" thickBot="1" x14ac:dyDescent="0.8">
      <c r="A4" s="6">
        <v>6</v>
      </c>
      <c r="B4" s="35" t="b">
        <f ca="1">Analysis!V17</f>
        <v>0</v>
      </c>
      <c r="C4" s="36" t="b">
        <f ca="1">Analysis!W17</f>
        <v>1</v>
      </c>
      <c r="D4" s="35" t="b">
        <f ca="1">Analysis!X17</f>
        <v>0</v>
      </c>
      <c r="E4" s="36" t="b">
        <f ca="1">Analysis!Y17</f>
        <v>0</v>
      </c>
      <c r="F4" s="35" t="b">
        <f ca="1">Analysis!Z17</f>
        <v>0</v>
      </c>
      <c r="G4" s="36" t="b">
        <f ca="1">Analysis!AA17</f>
        <v>0</v>
      </c>
      <c r="H4" s="35" t="b">
        <f ca="1">Analysis!AB17</f>
        <v>0</v>
      </c>
      <c r="I4" s="36" t="b">
        <f ca="1">Analysis!AC17</f>
        <v>1</v>
      </c>
      <c r="K4" s="4" t="s">
        <v>2</v>
      </c>
    </row>
    <row r="5" spans="1:16" ht="51" customHeight="1" thickTop="1" thickBot="1" x14ac:dyDescent="0.8">
      <c r="A5" s="6">
        <v>5</v>
      </c>
      <c r="B5" s="36" t="b">
        <f ca="1">Analysis!V18</f>
        <v>0</v>
      </c>
      <c r="C5" s="35" t="b">
        <f ca="1">Analysis!W18</f>
        <v>0</v>
      </c>
      <c r="D5" s="36" t="b">
        <f ca="1">Analysis!X18</f>
        <v>1</v>
      </c>
      <c r="E5" s="35" t="b">
        <f ca="1">Analysis!Y18</f>
        <v>0</v>
      </c>
      <c r="F5" s="36" t="b">
        <f ca="1">Analysis!Z18</f>
        <v>0</v>
      </c>
      <c r="G5" s="35" t="b">
        <f ca="1">Analysis!AA18</f>
        <v>0</v>
      </c>
      <c r="H5" s="36" t="b">
        <f ca="1">Analysis!AB18</f>
        <v>1</v>
      </c>
      <c r="I5" s="35" t="b">
        <f ca="1">Analysis!AC18</f>
        <v>0</v>
      </c>
      <c r="K5" s="4" t="s">
        <v>3</v>
      </c>
    </row>
    <row r="6" spans="1:16" ht="51" customHeight="1" thickTop="1" thickBot="1" x14ac:dyDescent="0.8">
      <c r="A6" s="6">
        <v>4</v>
      </c>
      <c r="B6" s="35" t="b">
        <f ca="1">Analysis!V19</f>
        <v>0</v>
      </c>
      <c r="C6" s="36" t="b">
        <f ca="1">Analysis!W19</f>
        <v>0</v>
      </c>
      <c r="D6" s="35" t="b">
        <f ca="1">Analysis!X19</f>
        <v>0</v>
      </c>
      <c r="E6" s="36" t="b">
        <f ca="1">Analysis!Y19</f>
        <v>1</v>
      </c>
      <c r="F6" s="35" t="b">
        <f ca="1">Analysis!Z19</f>
        <v>0</v>
      </c>
      <c r="G6" s="36" t="b">
        <f ca="1">Analysis!AA19</f>
        <v>1</v>
      </c>
      <c r="H6" s="35" t="b">
        <f ca="1">Analysis!AB19</f>
        <v>0</v>
      </c>
      <c r="I6" s="36" t="b">
        <f ca="1">Analysis!AC19</f>
        <v>0</v>
      </c>
      <c r="K6" s="4" t="s">
        <v>4</v>
      </c>
    </row>
    <row r="7" spans="1:16" ht="51" customHeight="1" thickTop="1" thickBot="1" x14ac:dyDescent="0.8">
      <c r="A7" s="6">
        <v>3</v>
      </c>
      <c r="B7" s="36" t="b">
        <f ca="1">Analysis!V20</f>
        <v>0</v>
      </c>
      <c r="C7" s="35" t="b">
        <f ca="1">Analysis!W20</f>
        <v>0</v>
      </c>
      <c r="D7" s="36" t="b">
        <f ca="1">Analysis!X20</f>
        <v>0</v>
      </c>
      <c r="E7" s="35" t="b">
        <f ca="1">Analysis!Y20</f>
        <v>0</v>
      </c>
      <c r="F7" s="36">
        <f ca="1">Analysis!Z20</f>
        <v>1</v>
      </c>
      <c r="G7" s="35" t="b">
        <f ca="1">Analysis!AA20</f>
        <v>0</v>
      </c>
      <c r="H7" s="36" t="b">
        <f ca="1">Analysis!AB20</f>
        <v>0</v>
      </c>
      <c r="I7" s="35" t="b">
        <f ca="1">Analysis!AC20</f>
        <v>0</v>
      </c>
      <c r="K7" s="4" t="s">
        <v>5</v>
      </c>
    </row>
    <row r="8" spans="1:16" ht="51" customHeight="1" thickTop="1" thickBot="1" x14ac:dyDescent="0.8">
      <c r="A8" s="6">
        <v>2</v>
      </c>
      <c r="B8" s="35" t="b">
        <f ca="1">Analysis!V21</f>
        <v>0</v>
      </c>
      <c r="C8" s="36" t="b">
        <f ca="1">Analysis!W21</f>
        <v>0</v>
      </c>
      <c r="D8" s="35" t="b">
        <f ca="1">Analysis!X21</f>
        <v>0</v>
      </c>
      <c r="E8" s="36" t="b">
        <f ca="1">Analysis!Y21</f>
        <v>1</v>
      </c>
      <c r="F8" s="35" t="b">
        <f ca="1">Analysis!Z21</f>
        <v>0</v>
      </c>
      <c r="G8" s="36" t="b">
        <f ca="1">Analysis!AA21</f>
        <v>1</v>
      </c>
      <c r="H8" s="35" t="b">
        <f ca="1">Analysis!AB21</f>
        <v>0</v>
      </c>
      <c r="I8" s="36" t="b">
        <f ca="1">Analysis!AC21</f>
        <v>0</v>
      </c>
      <c r="K8" s="4" t="s">
        <v>6</v>
      </c>
    </row>
    <row r="9" spans="1:16" ht="51" customHeight="1" thickTop="1" thickBot="1" x14ac:dyDescent="0.5">
      <c r="A9" s="6">
        <v>1</v>
      </c>
      <c r="B9" s="36" t="b">
        <f ca="1">Analysis!V22</f>
        <v>0</v>
      </c>
      <c r="C9" s="35" t="b">
        <f ca="1">Analysis!W22</f>
        <v>0</v>
      </c>
      <c r="D9" s="36" t="b">
        <f ca="1">Analysis!X22</f>
        <v>1</v>
      </c>
      <c r="E9" s="35" t="b">
        <f ca="1">Analysis!Y22</f>
        <v>0</v>
      </c>
      <c r="F9" s="36" t="b">
        <f ca="1">Analysis!Z22</f>
        <v>0</v>
      </c>
      <c r="G9" s="35" t="b">
        <f ca="1">Analysis!AA22</f>
        <v>0</v>
      </c>
      <c r="H9" s="36" t="b">
        <f ca="1">Analysis!AB22</f>
        <v>1</v>
      </c>
      <c r="I9" s="35" t="b">
        <f ca="1">Analysis!AC22</f>
        <v>0</v>
      </c>
    </row>
    <row r="10" spans="1:16" ht="28.5" customHeight="1" thickTop="1" x14ac:dyDescent="0.75">
      <c r="B10" s="3" t="s">
        <v>7</v>
      </c>
      <c r="C10" s="3" t="s">
        <v>8</v>
      </c>
      <c r="D10" s="3" t="s">
        <v>9</v>
      </c>
      <c r="E10" s="3" t="s">
        <v>10</v>
      </c>
      <c r="F10" s="3" t="s">
        <v>11</v>
      </c>
      <c r="G10" s="3" t="s">
        <v>12</v>
      </c>
      <c r="H10" s="3" t="s">
        <v>13</v>
      </c>
      <c r="I10" s="3" t="s">
        <v>14</v>
      </c>
    </row>
  </sheetData>
  <conditionalFormatting sqref="B2:I9">
    <cfRule type="cellIs" dxfId="2" priority="1" operator="equal">
      <formula>1</formula>
    </cfRule>
    <cfRule type="cellIs" dxfId="1" priority="11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KingW">
          <controlPr defaultSize="0" autoLine="0" r:id="rId5">
            <anchor moveWithCells="1">
              <from>
                <xdr:col>11</xdr:col>
                <xdr:colOff>238125</xdr:colOff>
                <xdr:row>7</xdr:row>
                <xdr:rowOff>228600</xdr:rowOff>
              </from>
              <to>
                <xdr:col>12</xdr:col>
                <xdr:colOff>200025</xdr:colOff>
                <xdr:row>8</xdr:row>
                <xdr:rowOff>142875</xdr:rowOff>
              </to>
            </anchor>
          </controlPr>
        </control>
      </mc:Choice>
      <mc:Fallback>
        <control shapeId="1037" r:id="rId4" name="KingW"/>
      </mc:Fallback>
    </mc:AlternateContent>
    <mc:AlternateContent xmlns:mc="http://schemas.openxmlformats.org/markup-compatibility/2006">
      <mc:Choice Requires="x14">
        <control shapeId="1036" r:id="rId6" name="QueenW">
          <controlPr defaultSize="0" autoLine="0" r:id="rId7">
            <anchor moveWithCells="1">
              <from>
                <xdr:col>11</xdr:col>
                <xdr:colOff>238125</xdr:colOff>
                <xdr:row>6</xdr:row>
                <xdr:rowOff>285750</xdr:rowOff>
              </from>
              <to>
                <xdr:col>12</xdr:col>
                <xdr:colOff>219075</xdr:colOff>
                <xdr:row>7</xdr:row>
                <xdr:rowOff>190500</xdr:rowOff>
              </to>
            </anchor>
          </controlPr>
        </control>
      </mc:Choice>
      <mc:Fallback>
        <control shapeId="1036" r:id="rId6" name="QueenW"/>
      </mc:Fallback>
    </mc:AlternateContent>
    <mc:AlternateContent xmlns:mc="http://schemas.openxmlformats.org/markup-compatibility/2006">
      <mc:Choice Requires="x14">
        <control shapeId="1035" r:id="rId8" name="RookW">
          <controlPr defaultSize="0" autoLine="0" r:id="rId9">
            <anchor moveWithCells="1">
              <from>
                <xdr:col>11</xdr:col>
                <xdr:colOff>238125</xdr:colOff>
                <xdr:row>5</xdr:row>
                <xdr:rowOff>247650</xdr:rowOff>
              </from>
              <to>
                <xdr:col>12</xdr:col>
                <xdr:colOff>219075</xdr:colOff>
                <xdr:row>6</xdr:row>
                <xdr:rowOff>190500</xdr:rowOff>
              </to>
            </anchor>
          </controlPr>
        </control>
      </mc:Choice>
      <mc:Fallback>
        <control shapeId="1035" r:id="rId8" name="RookW"/>
      </mc:Fallback>
    </mc:AlternateContent>
    <mc:AlternateContent xmlns:mc="http://schemas.openxmlformats.org/markup-compatibility/2006">
      <mc:Choice Requires="x14">
        <control shapeId="1034" r:id="rId10" name="BishopW">
          <controlPr defaultSize="0" autoLine="0" r:id="rId11">
            <anchor moveWithCells="1">
              <from>
                <xdr:col>11</xdr:col>
                <xdr:colOff>238125</xdr:colOff>
                <xdr:row>3</xdr:row>
                <xdr:rowOff>209550</xdr:rowOff>
              </from>
              <to>
                <xdr:col>12</xdr:col>
                <xdr:colOff>200025</xdr:colOff>
                <xdr:row>4</xdr:row>
                <xdr:rowOff>123825</xdr:rowOff>
              </to>
            </anchor>
          </controlPr>
        </control>
      </mc:Choice>
      <mc:Fallback>
        <control shapeId="1034" r:id="rId10" name="BishopW"/>
      </mc:Fallback>
    </mc:AlternateContent>
    <mc:AlternateContent xmlns:mc="http://schemas.openxmlformats.org/markup-compatibility/2006">
      <mc:Choice Requires="x14">
        <control shapeId="1033" r:id="rId12" name="KnightW">
          <controlPr defaultSize="0" autoLine="0" r:id="rId13">
            <anchor moveWithCells="1">
              <from>
                <xdr:col>11</xdr:col>
                <xdr:colOff>238125</xdr:colOff>
                <xdr:row>4</xdr:row>
                <xdr:rowOff>200025</xdr:rowOff>
              </from>
              <to>
                <xdr:col>12</xdr:col>
                <xdr:colOff>190500</xdr:colOff>
                <xdr:row>5</xdr:row>
                <xdr:rowOff>142875</xdr:rowOff>
              </to>
            </anchor>
          </controlPr>
        </control>
      </mc:Choice>
      <mc:Fallback>
        <control shapeId="1033" r:id="rId12" name="KnightW"/>
      </mc:Fallback>
    </mc:AlternateContent>
    <mc:AlternateContent xmlns:mc="http://schemas.openxmlformats.org/markup-compatibility/2006">
      <mc:Choice Requires="x14">
        <control shapeId="1032" r:id="rId14" name="PawnW">
          <controlPr defaultSize="0" autoLine="0" r:id="rId15">
            <anchor moveWithCells="1">
              <from>
                <xdr:col>11</xdr:col>
                <xdr:colOff>238125</xdr:colOff>
                <xdr:row>2</xdr:row>
                <xdr:rowOff>142875</xdr:rowOff>
              </from>
              <to>
                <xdr:col>12</xdr:col>
                <xdr:colOff>228600</xdr:colOff>
                <xdr:row>3</xdr:row>
                <xdr:rowOff>114300</xdr:rowOff>
              </to>
            </anchor>
          </controlPr>
        </control>
      </mc:Choice>
      <mc:Fallback>
        <control shapeId="1032" r:id="rId14" name="PawnW"/>
      </mc:Fallback>
    </mc:AlternateContent>
    <mc:AlternateContent xmlns:mc="http://schemas.openxmlformats.org/markup-compatibility/2006">
      <mc:Choice Requires="x14">
        <control shapeId="1039" r:id="rId16" name="Drop Down 15">
          <controlPr defaultSize="0" autoLine="0" autoPict="0">
            <anchor moveWithCells="1">
              <from>
                <xdr:col>16</xdr:col>
                <xdr:colOff>171450</xdr:colOff>
                <xdr:row>1</xdr:row>
                <xdr:rowOff>333375</xdr:rowOff>
              </from>
              <to>
                <xdr:col>18</xdr:col>
                <xdr:colOff>19050</xdr:colOff>
                <xdr:row>1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Drop Down 16">
          <controlPr defaultSize="0" autoLine="0" autoPict="0">
            <anchor moveWithCells="1">
              <from>
                <xdr:col>16</xdr:col>
                <xdr:colOff>171450</xdr:colOff>
                <xdr:row>2</xdr:row>
                <xdr:rowOff>342900</xdr:rowOff>
              </from>
              <to>
                <xdr:col>18</xdr:col>
                <xdr:colOff>9525</xdr:colOff>
                <xdr:row>2</xdr:row>
                <xdr:rowOff>609600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A20A9C3B-5641-41D7-B9DC-6827D0D9C185}">
            <xm:f>NOT(ISERROR(SEARCH(Analysis!$C$10,Analysis!O5)))</xm:f>
            <xm:f>Analysis!$C$10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O5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C59"/>
  <sheetViews>
    <sheetView topLeftCell="C1" zoomScale="71" zoomScaleNormal="115" workbookViewId="0">
      <selection activeCell="R10" sqref="R10"/>
    </sheetView>
  </sheetViews>
  <sheetFormatPr defaultRowHeight="14.25" x14ac:dyDescent="0.45"/>
  <cols>
    <col min="2" max="2" width="20.86328125" bestFit="1" customWidth="1"/>
    <col min="3" max="3" width="8.73046875" bestFit="1" customWidth="1"/>
    <col min="11" max="11" width="6.73046875" customWidth="1"/>
    <col min="12" max="12" width="9.73046875" bestFit="1" customWidth="1"/>
  </cols>
  <sheetData>
    <row r="1" spans="2:29" ht="15.75" x14ac:dyDescent="0.5">
      <c r="C1" s="2" t="s">
        <v>0</v>
      </c>
      <c r="D1" s="2" t="s">
        <v>32</v>
      </c>
      <c r="E1" s="2" t="s">
        <v>31</v>
      </c>
      <c r="F1" s="5">
        <v>5</v>
      </c>
      <c r="K1" s="33" t="s">
        <v>86</v>
      </c>
      <c r="L1" s="33"/>
      <c r="M1" s="33"/>
      <c r="N1" s="33"/>
      <c r="O1" s="33"/>
    </row>
    <row r="2" spans="2:29" x14ac:dyDescent="0.45">
      <c r="B2" t="s">
        <v>15</v>
      </c>
      <c r="C2" s="2" t="s">
        <v>2</v>
      </c>
      <c r="D2" s="2" t="str">
        <f>INDEX($I$3:$I$10,F1)</f>
        <v>E</v>
      </c>
      <c r="E2" s="2">
        <v>3</v>
      </c>
      <c r="H2" s="2" t="s">
        <v>33</v>
      </c>
      <c r="I2" t="s">
        <v>34</v>
      </c>
      <c r="K2" t="s">
        <v>33</v>
      </c>
      <c r="L2" t="s">
        <v>87</v>
      </c>
      <c r="N2" t="s">
        <v>34</v>
      </c>
      <c r="O2" t="s">
        <v>87</v>
      </c>
    </row>
    <row r="3" spans="2:29" x14ac:dyDescent="0.45">
      <c r="H3" s="2">
        <v>1</v>
      </c>
      <c r="I3" t="s">
        <v>7</v>
      </c>
      <c r="K3">
        <v>1</v>
      </c>
      <c r="L3">
        <v>22</v>
      </c>
      <c r="N3" t="s">
        <v>7</v>
      </c>
      <c r="O3" t="s">
        <v>93</v>
      </c>
    </row>
    <row r="4" spans="2:29" x14ac:dyDescent="0.45">
      <c r="H4" s="2">
        <v>2</v>
      </c>
      <c r="I4" t="s">
        <v>8</v>
      </c>
      <c r="K4">
        <v>2</v>
      </c>
      <c r="L4">
        <v>21</v>
      </c>
      <c r="N4" t="s">
        <v>8</v>
      </c>
      <c r="O4" t="s">
        <v>94</v>
      </c>
    </row>
    <row r="5" spans="2:29" x14ac:dyDescent="0.45">
      <c r="H5" s="2">
        <v>3</v>
      </c>
      <c r="I5" t="s">
        <v>9</v>
      </c>
      <c r="K5">
        <v>3</v>
      </c>
      <c r="L5">
        <v>20</v>
      </c>
      <c r="N5" t="s">
        <v>9</v>
      </c>
      <c r="O5" t="s">
        <v>95</v>
      </c>
    </row>
    <row r="6" spans="2:29" x14ac:dyDescent="0.45">
      <c r="H6" s="2">
        <v>4</v>
      </c>
      <c r="I6" t="s">
        <v>10</v>
      </c>
      <c r="K6">
        <v>4</v>
      </c>
      <c r="L6">
        <v>19</v>
      </c>
      <c r="N6" t="s">
        <v>10</v>
      </c>
      <c r="O6" t="s">
        <v>96</v>
      </c>
    </row>
    <row r="7" spans="2:29" x14ac:dyDescent="0.45">
      <c r="H7" s="2">
        <v>5</v>
      </c>
      <c r="I7" t="s">
        <v>11</v>
      </c>
      <c r="K7">
        <v>5</v>
      </c>
      <c r="L7">
        <v>18</v>
      </c>
      <c r="N7" t="s">
        <v>11</v>
      </c>
      <c r="O7" t="s">
        <v>97</v>
      </c>
    </row>
    <row r="8" spans="2:29" x14ac:dyDescent="0.45">
      <c r="H8" s="2">
        <v>6</v>
      </c>
      <c r="I8" t="s">
        <v>12</v>
      </c>
      <c r="K8">
        <v>6</v>
      </c>
      <c r="L8">
        <v>17</v>
      </c>
      <c r="N8" t="s">
        <v>12</v>
      </c>
      <c r="O8" t="s">
        <v>100</v>
      </c>
    </row>
    <row r="9" spans="2:29" x14ac:dyDescent="0.45">
      <c r="B9" t="s">
        <v>92</v>
      </c>
      <c r="C9" t="str">
        <f>D2&amp;E2</f>
        <v>E3</v>
      </c>
      <c r="H9" s="2">
        <v>7</v>
      </c>
      <c r="I9" t="s">
        <v>13</v>
      </c>
      <c r="K9">
        <v>7</v>
      </c>
      <c r="L9">
        <v>16</v>
      </c>
      <c r="N9" t="s">
        <v>13</v>
      </c>
      <c r="O9" t="s">
        <v>98</v>
      </c>
    </row>
    <row r="10" spans="2:29" x14ac:dyDescent="0.45">
      <c r="B10" t="s">
        <v>35</v>
      </c>
      <c r="C10" t="str">
        <f>"=Analysis!"&amp;INDEX($N$3:$O$10,MATCH(D2,N3:N10,0),2)&amp;INDEX(K3:L10,MATCH(E2,K3:K10,0),2)</f>
        <v>=Analysis!Q20</v>
      </c>
      <c r="E10" t="str">
        <f>TEXT("$"&amp;VLOOKUP(D2,N3:O10,2,FALSE)&amp;"$"&amp;VLOOKUP(E2,K3:L10,2,FALSE),"0")</f>
        <v>$Q$20</v>
      </c>
      <c r="H10" s="2">
        <v>8</v>
      </c>
      <c r="I10" t="s">
        <v>14</v>
      </c>
      <c r="K10">
        <v>8</v>
      </c>
      <c r="L10">
        <v>15</v>
      </c>
      <c r="N10" t="s">
        <v>14</v>
      </c>
      <c r="O10" t="s">
        <v>99</v>
      </c>
    </row>
    <row r="12" spans="2:29" x14ac:dyDescent="0.45">
      <c r="B12" t="s">
        <v>16</v>
      </c>
    </row>
    <row r="13" spans="2:29" x14ac:dyDescent="0.45">
      <c r="D13" s="7" t="s">
        <v>1</v>
      </c>
      <c r="E13" t="s">
        <v>3</v>
      </c>
      <c r="F13" t="s">
        <v>2</v>
      </c>
      <c r="G13" t="s">
        <v>4</v>
      </c>
      <c r="H13" t="s">
        <v>5</v>
      </c>
      <c r="I13" t="s">
        <v>6</v>
      </c>
    </row>
    <row r="14" spans="2:29" ht="14.65" thickBot="1" x14ac:dyDescent="0.5">
      <c r="F14" s="2"/>
      <c r="V14" s="32" t="s">
        <v>101</v>
      </c>
      <c r="W14" s="32"/>
      <c r="X14" s="32"/>
      <c r="Y14" s="32"/>
      <c r="Z14" s="32"/>
      <c r="AA14" s="32"/>
      <c r="AB14" s="32"/>
      <c r="AC14" s="32"/>
    </row>
    <row r="15" spans="2:29" x14ac:dyDescent="0.45">
      <c r="C15" s="8" t="s">
        <v>73</v>
      </c>
      <c r="D15" s="9" t="s">
        <v>23</v>
      </c>
      <c r="E15" s="9" t="s">
        <v>71</v>
      </c>
      <c r="F15" s="9" t="s">
        <v>66</v>
      </c>
      <c r="G15" s="9" t="s">
        <v>61</v>
      </c>
      <c r="H15" s="9" t="s">
        <v>56</v>
      </c>
      <c r="I15" s="9" t="s">
        <v>51</v>
      </c>
      <c r="J15" s="10" t="s">
        <v>46</v>
      </c>
      <c r="L15">
        <v>8</v>
      </c>
      <c r="M15" s="8" t="b">
        <f>IF($C$2=$C$24,C25,IF($C$2=$M$24,M25,IF($C$2=$C$36,C37,IF($C$2=$M$36,M37,IF($C$2=$C$49,C50,IF($C$2=$M$49,M50,FALSE))))))</f>
        <v>0</v>
      </c>
      <c r="N15" s="8" t="b">
        <f t="shared" ref="N15:T15" si="0">IF($C$2=$C$24,D25,IF($C$2=$M$24,N25,IF($C$2=$C$36,D37,IF($C$2=$M$36,N37,IF($C$2=$C$49,D50,IF($C$2=$M$49,N50,FALSE))))))</f>
        <v>0</v>
      </c>
      <c r="O15" s="8" t="b">
        <f t="shared" si="0"/>
        <v>0</v>
      </c>
      <c r="P15" s="8" t="b">
        <f t="shared" si="0"/>
        <v>0</v>
      </c>
      <c r="Q15" s="8" t="b">
        <f t="shared" si="0"/>
        <v>0</v>
      </c>
      <c r="R15" s="8" t="b">
        <f t="shared" si="0"/>
        <v>0</v>
      </c>
      <c r="S15" s="8" t="b">
        <f t="shared" si="0"/>
        <v>0</v>
      </c>
      <c r="T15" s="28" t="b">
        <f t="shared" si="0"/>
        <v>0</v>
      </c>
      <c r="V15" s="17" t="b">
        <f ca="1">IF(CELL("address",M15)=$E$10,1,M15)</f>
        <v>0</v>
      </c>
      <c r="W15" s="18" t="b">
        <f ca="1">IF(CELL("address",N15)=$E$10,1,N15)</f>
        <v>0</v>
      </c>
      <c r="X15" s="18" t="b">
        <f ca="1">IF(CELL("address",O15)=$E$10,1,O15)</f>
        <v>0</v>
      </c>
      <c r="Y15" s="18" t="b">
        <f ca="1">IF(CELL("address",P15)=$E$10,1,P15)</f>
        <v>0</v>
      </c>
      <c r="Z15" s="18" t="b">
        <f ca="1">IF(CELL("address",Q15)=$E$10,1,Q15)</f>
        <v>0</v>
      </c>
      <c r="AA15" s="18" t="b">
        <f ca="1">IF(CELL("address",R15)=$E$10,1,R15)</f>
        <v>0</v>
      </c>
      <c r="AB15" s="18" t="b">
        <f ca="1">IF(CELL("address",S15)=$E$10,1,S15)</f>
        <v>0</v>
      </c>
      <c r="AC15" s="19" t="b">
        <f ca="1">IF(CELL("address",T15)=$E$10,1,T15)</f>
        <v>0</v>
      </c>
    </row>
    <row r="16" spans="2:29" x14ac:dyDescent="0.45">
      <c r="C16" s="11" t="s">
        <v>74</v>
      </c>
      <c r="D16" s="12" t="s">
        <v>22</v>
      </c>
      <c r="E16" s="12" t="s">
        <v>70</v>
      </c>
      <c r="F16" s="12" t="s">
        <v>65</v>
      </c>
      <c r="G16" s="12" t="s">
        <v>60</v>
      </c>
      <c r="H16" s="12" t="s">
        <v>55</v>
      </c>
      <c r="I16" s="12" t="s">
        <v>50</v>
      </c>
      <c r="J16" s="13" t="s">
        <v>45</v>
      </c>
      <c r="L16">
        <v>7</v>
      </c>
      <c r="M16" s="8" t="b">
        <f t="shared" ref="M16:M22" si="1">IF($C$2=$C$24,C26,IF($C$2=$M$24,M26,IF($C$2=$C$36,C38,IF($C$2=$M$36,M38,IF($C$2=$C$49,C51,IF($C$2=$M$49,M51,FALSE))))))</f>
        <v>1</v>
      </c>
      <c r="N16" s="8" t="b">
        <f t="shared" ref="N16:N22" si="2">IF($C$2=$C$24,D26,IF($C$2=$M$24,N26,IF($C$2=$C$36,D38,IF($C$2=$M$36,N38,IF($C$2=$C$49,D51,IF($C$2=$M$49,N51,FALSE))))))</f>
        <v>0</v>
      </c>
      <c r="O16" s="8" t="b">
        <f t="shared" ref="O16:O22" si="3">IF($C$2=$C$24,E26,IF($C$2=$M$24,O26,IF($C$2=$C$36,E38,IF($C$2=$M$36,O38,IF($C$2=$C$49,E51,IF($C$2=$M$49,O51,FALSE))))))</f>
        <v>0</v>
      </c>
      <c r="P16" s="8" t="b">
        <f t="shared" ref="P16:P22" si="4">IF($C$2=$C$24,F26,IF($C$2=$M$24,P26,IF($C$2=$C$36,F38,IF($C$2=$M$36,P38,IF($C$2=$C$49,F51,IF($C$2=$M$49,P51,FALSE))))))</f>
        <v>0</v>
      </c>
      <c r="Q16" s="8" t="b">
        <f t="shared" ref="Q16:Q22" si="5">IF($C$2=$C$24,G26,IF($C$2=$M$24,Q26,IF($C$2=$C$36,G38,IF($C$2=$M$36,Q38,IF($C$2=$C$49,G51,IF($C$2=$M$49,Q51,FALSE))))))</f>
        <v>0</v>
      </c>
      <c r="R16" s="8" t="b">
        <f t="shared" ref="R16:R22" si="6">IF($C$2=$C$24,H26,IF($C$2=$M$24,R26,IF($C$2=$C$36,H38,IF($C$2=$M$36,R38,IF($C$2=$C$49,H51,IF($C$2=$M$49,R51,FALSE))))))</f>
        <v>0</v>
      </c>
      <c r="S16" s="8" t="b">
        <f t="shared" ref="S16:S22" si="7">IF($C$2=$C$24,I26,IF($C$2=$M$24,S26,IF($C$2=$C$36,I38,IF($C$2=$M$36,S38,IF($C$2=$C$49,I51,IF($C$2=$M$49,S51,FALSE))))))</f>
        <v>0</v>
      </c>
      <c r="T16" s="28" t="b">
        <f t="shared" ref="T16:T22" si="8">IF($C$2=$C$24,J26,IF($C$2=$M$24,T26,IF($C$2=$C$36,J38,IF($C$2=$M$36,T38,IF($C$2=$C$49,J51,IF($C$2=$M$49,T51,FALSE))))))</f>
        <v>0</v>
      </c>
      <c r="V16" s="20" t="b">
        <f ca="1">IF(CELL("address",M16)=$E$10,1,M16)</f>
        <v>1</v>
      </c>
      <c r="W16" s="12" t="b">
        <f ca="1">IF(CELL("address",N16)=$E$10,1,N16)</f>
        <v>0</v>
      </c>
      <c r="X16" s="12" t="b">
        <f ca="1">IF(CELL("address",O16)=$E$10,1,O16)</f>
        <v>0</v>
      </c>
      <c r="Y16" s="12" t="b">
        <f ca="1">IF(CELL("address",P16)=$E$10,1,P16)</f>
        <v>0</v>
      </c>
      <c r="Z16" s="12" t="b">
        <f ca="1">IF(CELL("address",Q16)=$E$10,1,Q16)</f>
        <v>0</v>
      </c>
      <c r="AA16" s="12" t="b">
        <f ca="1">IF(CELL("address",R16)=$E$10,1,R16)</f>
        <v>0</v>
      </c>
      <c r="AB16" s="12" t="b">
        <f ca="1">IF(CELL("address",S16)=$E$10,1,S16)</f>
        <v>0</v>
      </c>
      <c r="AC16" s="21" t="b">
        <f ca="1">IF(CELL("address",T16)=$E$10,1,T16)</f>
        <v>0</v>
      </c>
    </row>
    <row r="17" spans="2:29" x14ac:dyDescent="0.45">
      <c r="C17" s="11" t="s">
        <v>75</v>
      </c>
      <c r="D17" s="12" t="s">
        <v>21</v>
      </c>
      <c r="E17" s="12" t="s">
        <v>69</v>
      </c>
      <c r="F17" s="12" t="s">
        <v>64</v>
      </c>
      <c r="G17" s="12" t="s">
        <v>59</v>
      </c>
      <c r="H17" s="12" t="s">
        <v>54</v>
      </c>
      <c r="I17" s="12" t="s">
        <v>49</v>
      </c>
      <c r="J17" s="13" t="s">
        <v>44</v>
      </c>
      <c r="L17">
        <v>6</v>
      </c>
      <c r="M17" s="8" t="b">
        <f t="shared" si="1"/>
        <v>0</v>
      </c>
      <c r="N17" s="8" t="b">
        <f t="shared" si="2"/>
        <v>1</v>
      </c>
      <c r="O17" s="8" t="b">
        <f t="shared" si="3"/>
        <v>0</v>
      </c>
      <c r="P17" s="8" t="b">
        <f t="shared" si="4"/>
        <v>0</v>
      </c>
      <c r="Q17" s="8" t="b">
        <f t="shared" si="5"/>
        <v>0</v>
      </c>
      <c r="R17" s="8" t="b">
        <f t="shared" si="6"/>
        <v>0</v>
      </c>
      <c r="S17" s="8" t="b">
        <f t="shared" si="7"/>
        <v>0</v>
      </c>
      <c r="T17" s="28" t="b">
        <f t="shared" si="8"/>
        <v>1</v>
      </c>
      <c r="V17" s="20" t="b">
        <f ca="1">IF(CELL("address",M17)=$E$10,1,M17)</f>
        <v>0</v>
      </c>
      <c r="W17" s="12" t="b">
        <f ca="1">IF(CELL("address",N17)=$E$10,1,N17)</f>
        <v>1</v>
      </c>
      <c r="X17" s="12" t="b">
        <f ca="1">IF(CELL("address",O17)=$E$10,1,O17)</f>
        <v>0</v>
      </c>
      <c r="Y17" s="12" t="b">
        <f ca="1">IF(CELL("address",P17)=$E$10,1,P17)</f>
        <v>0</v>
      </c>
      <c r="Z17" s="12" t="b">
        <f ca="1">IF(CELL("address",Q17)=$E$10,1,Q17)</f>
        <v>0</v>
      </c>
      <c r="AA17" s="12" t="b">
        <f ca="1">IF(CELL("address",R17)=$E$10,1,R17)</f>
        <v>0</v>
      </c>
      <c r="AB17" s="12" t="b">
        <f ca="1">IF(CELL("address",S17)=$E$10,1,S17)</f>
        <v>0</v>
      </c>
      <c r="AC17" s="21" t="b">
        <f ca="1">IF(CELL("address",T17)=$E$10,1,T17)</f>
        <v>1</v>
      </c>
    </row>
    <row r="18" spans="2:29" x14ac:dyDescent="0.45">
      <c r="C18" s="11" t="s">
        <v>76</v>
      </c>
      <c r="D18" s="12" t="s">
        <v>20</v>
      </c>
      <c r="E18" s="12" t="s">
        <v>68</v>
      </c>
      <c r="F18" s="12" t="s">
        <v>63</v>
      </c>
      <c r="G18" s="12" t="s">
        <v>58</v>
      </c>
      <c r="H18" s="12" t="s">
        <v>53</v>
      </c>
      <c r="I18" s="12" t="s">
        <v>48</v>
      </c>
      <c r="J18" s="13" t="s">
        <v>43</v>
      </c>
      <c r="L18">
        <v>5</v>
      </c>
      <c r="M18" s="8" t="b">
        <f t="shared" si="1"/>
        <v>0</v>
      </c>
      <c r="N18" s="8" t="b">
        <f t="shared" si="2"/>
        <v>0</v>
      </c>
      <c r="O18" s="8" t="b">
        <f t="shared" si="3"/>
        <v>1</v>
      </c>
      <c r="P18" s="8" t="b">
        <f t="shared" si="4"/>
        <v>0</v>
      </c>
      <c r="Q18" s="8" t="b">
        <f t="shared" si="5"/>
        <v>0</v>
      </c>
      <c r="R18" s="8" t="b">
        <f t="shared" si="6"/>
        <v>0</v>
      </c>
      <c r="S18" s="8" t="b">
        <f t="shared" si="7"/>
        <v>1</v>
      </c>
      <c r="T18" s="28" t="b">
        <f t="shared" si="8"/>
        <v>0</v>
      </c>
      <c r="V18" s="20" t="b">
        <f ca="1">IF(CELL("address",M18)=$E$10,1,M18)</f>
        <v>0</v>
      </c>
      <c r="W18" s="12" t="b">
        <f ca="1">IF(CELL("address",N18)=$E$10,1,N18)</f>
        <v>0</v>
      </c>
      <c r="X18" s="12" t="b">
        <f ca="1">IF(CELL("address",O18)=$E$10,1,O18)</f>
        <v>1</v>
      </c>
      <c r="Y18" s="12" t="b">
        <f ca="1">IF(CELL("address",P18)=$E$10,1,P18)</f>
        <v>0</v>
      </c>
      <c r="Z18" s="12" t="b">
        <f ca="1">IF(CELL("address",Q18)=$E$10,1,Q18)</f>
        <v>0</v>
      </c>
      <c r="AA18" s="12" t="b">
        <f ca="1">IF(CELL("address",R18)=$E$10,1,R18)</f>
        <v>0</v>
      </c>
      <c r="AB18" s="12" t="b">
        <f ca="1">IF(CELL("address",S18)=$E$10,1,S18)</f>
        <v>1</v>
      </c>
      <c r="AC18" s="21" t="b">
        <f ca="1">IF(CELL("address",T18)=$E$10,1,T18)</f>
        <v>0</v>
      </c>
    </row>
    <row r="19" spans="2:29" x14ac:dyDescent="0.45">
      <c r="C19" s="11" t="s">
        <v>77</v>
      </c>
      <c r="D19" s="12" t="s">
        <v>19</v>
      </c>
      <c r="E19" s="12" t="s">
        <v>67</v>
      </c>
      <c r="F19" s="12" t="s">
        <v>62</v>
      </c>
      <c r="G19" s="12" t="s">
        <v>57</v>
      </c>
      <c r="H19" s="12" t="s">
        <v>52</v>
      </c>
      <c r="I19" s="12" t="s">
        <v>47</v>
      </c>
      <c r="J19" s="13" t="s">
        <v>42</v>
      </c>
      <c r="L19">
        <v>4</v>
      </c>
      <c r="M19" s="8" t="b">
        <f t="shared" si="1"/>
        <v>0</v>
      </c>
      <c r="N19" s="8" t="b">
        <f t="shared" si="2"/>
        <v>0</v>
      </c>
      <c r="O19" s="8" t="b">
        <f t="shared" si="3"/>
        <v>0</v>
      </c>
      <c r="P19" s="8" t="b">
        <f t="shared" si="4"/>
        <v>1</v>
      </c>
      <c r="Q19" s="8" t="b">
        <f t="shared" si="5"/>
        <v>0</v>
      </c>
      <c r="R19" s="8" t="b">
        <f t="shared" si="6"/>
        <v>1</v>
      </c>
      <c r="S19" s="8" t="b">
        <f t="shared" si="7"/>
        <v>0</v>
      </c>
      <c r="T19" s="28" t="b">
        <f t="shared" si="8"/>
        <v>0</v>
      </c>
      <c r="V19" s="20" t="b">
        <f ca="1">IF(CELL("address",M19)=$E$10,1,M19)</f>
        <v>0</v>
      </c>
      <c r="W19" s="12" t="b">
        <f ca="1">IF(CELL("address",N19)=$E$10,1,N19)</f>
        <v>0</v>
      </c>
      <c r="X19" s="12" t="b">
        <f ca="1">IF(CELL("address",O19)=$E$10,1,O19)</f>
        <v>0</v>
      </c>
      <c r="Y19" s="12" t="b">
        <f ca="1">IF(CELL("address",P19)=$E$10,1,P19)</f>
        <v>1</v>
      </c>
      <c r="Z19" s="12" t="b">
        <f ca="1">IF(CELL("address",Q19)=$E$10,1,Q19)</f>
        <v>0</v>
      </c>
      <c r="AA19" s="12" t="b">
        <f ca="1">IF(CELL("address",R19)=$E$10,1,R19)</f>
        <v>1</v>
      </c>
      <c r="AB19" s="12" t="b">
        <f ca="1">IF(CELL("address",S19)=$E$10,1,S19)</f>
        <v>0</v>
      </c>
      <c r="AC19" s="21" t="b">
        <f ca="1">IF(CELL("address",T19)=$E$10,1,T19)</f>
        <v>0</v>
      </c>
    </row>
    <row r="20" spans="2:29" x14ac:dyDescent="0.45">
      <c r="C20" s="11" t="s">
        <v>24</v>
      </c>
      <c r="D20" s="12" t="s">
        <v>72</v>
      </c>
      <c r="E20" s="12" t="s">
        <v>25</v>
      </c>
      <c r="F20" s="12" t="s">
        <v>30</v>
      </c>
      <c r="G20" s="12" t="s">
        <v>26</v>
      </c>
      <c r="H20" s="12" t="s">
        <v>27</v>
      </c>
      <c r="I20" s="12" t="s">
        <v>28</v>
      </c>
      <c r="J20" s="13" t="s">
        <v>29</v>
      </c>
      <c r="L20">
        <v>3</v>
      </c>
      <c r="M20" s="8" t="b">
        <f t="shared" si="1"/>
        <v>0</v>
      </c>
      <c r="N20" s="8" t="b">
        <f t="shared" si="2"/>
        <v>0</v>
      </c>
      <c r="O20" s="8" t="b">
        <f t="shared" si="3"/>
        <v>0</v>
      </c>
      <c r="P20" s="8" t="b">
        <f t="shared" si="4"/>
        <v>0</v>
      </c>
      <c r="Q20" s="8" t="b">
        <f t="shared" si="5"/>
        <v>1</v>
      </c>
      <c r="R20" s="8" t="b">
        <f t="shared" si="6"/>
        <v>0</v>
      </c>
      <c r="S20" s="8" t="b">
        <f t="shared" si="7"/>
        <v>0</v>
      </c>
      <c r="T20" s="28" t="b">
        <f t="shared" si="8"/>
        <v>0</v>
      </c>
      <c r="V20" s="20" t="b">
        <f ca="1">IF(CELL("address",M20)=$E$10,1,M20)</f>
        <v>0</v>
      </c>
      <c r="W20" s="12" t="b">
        <f ca="1">IF(CELL("address",N20)=$E$10,1,N20)</f>
        <v>0</v>
      </c>
      <c r="X20" s="12" t="b">
        <f ca="1">IF(CELL("address",O20)=$E$10,1,O20)</f>
        <v>0</v>
      </c>
      <c r="Y20" s="12" t="b">
        <f ca="1">IF(CELL("address",P20)=$E$10,1,P20)</f>
        <v>0</v>
      </c>
      <c r="Z20" s="12">
        <f ca="1">IF(CELL("address",Q20)=$E$10,1,Q20)</f>
        <v>1</v>
      </c>
      <c r="AA20" s="12" t="b">
        <f ca="1">IF(CELL("address",R20)=$E$10,1,R20)</f>
        <v>0</v>
      </c>
      <c r="AB20" s="12" t="b">
        <f ca="1">IF(CELL("address",S20)=$E$10,1,S20)</f>
        <v>0</v>
      </c>
      <c r="AC20" s="21" t="b">
        <f ca="1">IF(CELL("address",T20)=$E$10,1,T20)</f>
        <v>0</v>
      </c>
    </row>
    <row r="21" spans="2:29" x14ac:dyDescent="0.45">
      <c r="C21" s="11" t="s">
        <v>78</v>
      </c>
      <c r="D21" s="12" t="s">
        <v>18</v>
      </c>
      <c r="E21" s="12" t="s">
        <v>36</v>
      </c>
      <c r="F21" s="12" t="s">
        <v>37</v>
      </c>
      <c r="G21" s="12" t="s">
        <v>38</v>
      </c>
      <c r="H21" s="12" t="s">
        <v>39</v>
      </c>
      <c r="I21" s="12" t="s">
        <v>41</v>
      </c>
      <c r="J21" s="13" t="s">
        <v>40</v>
      </c>
      <c r="L21">
        <v>2</v>
      </c>
      <c r="M21" s="8" t="b">
        <f t="shared" si="1"/>
        <v>0</v>
      </c>
      <c r="N21" s="8" t="b">
        <f t="shared" si="2"/>
        <v>0</v>
      </c>
      <c r="O21" s="8" t="b">
        <f t="shared" si="3"/>
        <v>0</v>
      </c>
      <c r="P21" s="8" t="b">
        <f t="shared" si="4"/>
        <v>1</v>
      </c>
      <c r="Q21" s="8" t="b">
        <f t="shared" si="5"/>
        <v>0</v>
      </c>
      <c r="R21" s="8" t="b">
        <f t="shared" si="6"/>
        <v>1</v>
      </c>
      <c r="S21" s="8" t="b">
        <f t="shared" si="7"/>
        <v>0</v>
      </c>
      <c r="T21" s="28" t="b">
        <f t="shared" si="8"/>
        <v>0</v>
      </c>
      <c r="V21" s="20" t="b">
        <f ca="1">IF(CELL("address",M21)=$E$10,1,M21)</f>
        <v>0</v>
      </c>
      <c r="W21" s="12" t="b">
        <f ca="1">IF(CELL("address",N21)=$E$10,1,N21)</f>
        <v>0</v>
      </c>
      <c r="X21" s="12" t="b">
        <f ca="1">IF(CELL("address",O21)=$E$10,1,O21)</f>
        <v>0</v>
      </c>
      <c r="Y21" s="12" t="b">
        <f ca="1">IF(CELL("address",P21)=$E$10,1,P21)</f>
        <v>1</v>
      </c>
      <c r="Z21" s="12" t="b">
        <f ca="1">IF(CELL("address",Q21)=$E$10,1,Q21)</f>
        <v>0</v>
      </c>
      <c r="AA21" s="12" t="b">
        <f ca="1">IF(CELL("address",R21)=$E$10,1,R21)</f>
        <v>1</v>
      </c>
      <c r="AB21" s="12" t="b">
        <f ca="1">IF(CELL("address",S21)=$E$10,1,S21)</f>
        <v>0</v>
      </c>
      <c r="AC21" s="21" t="b">
        <f ca="1">IF(CELL("address",T21)=$E$10,1,T21)</f>
        <v>0</v>
      </c>
    </row>
    <row r="22" spans="2:29" ht="14.65" thickBot="1" x14ac:dyDescent="0.5">
      <c r="C22" s="14" t="s">
        <v>79</v>
      </c>
      <c r="D22" s="15" t="s">
        <v>17</v>
      </c>
      <c r="E22" s="15" t="s">
        <v>80</v>
      </c>
      <c r="F22" s="15" t="s">
        <v>81</v>
      </c>
      <c r="G22" s="15" t="s">
        <v>83</v>
      </c>
      <c r="H22" s="15" t="s">
        <v>82</v>
      </c>
      <c r="I22" s="15" t="s">
        <v>84</v>
      </c>
      <c r="J22" s="16" t="s">
        <v>85</v>
      </c>
      <c r="L22">
        <v>1</v>
      </c>
      <c r="M22" s="29" t="b">
        <f t="shared" si="1"/>
        <v>0</v>
      </c>
      <c r="N22" s="29" t="b">
        <f t="shared" si="2"/>
        <v>0</v>
      </c>
      <c r="O22" s="29" t="b">
        <f t="shared" si="3"/>
        <v>1</v>
      </c>
      <c r="P22" s="29" t="b">
        <f t="shared" si="4"/>
        <v>0</v>
      </c>
      <c r="Q22" s="29" t="b">
        <f t="shared" si="5"/>
        <v>0</v>
      </c>
      <c r="R22" s="29" t="b">
        <f t="shared" si="6"/>
        <v>0</v>
      </c>
      <c r="S22" s="29" t="b">
        <f t="shared" si="7"/>
        <v>1</v>
      </c>
      <c r="T22" s="30" t="b">
        <f t="shared" si="8"/>
        <v>0</v>
      </c>
      <c r="V22" s="22" t="b">
        <f ca="1">IF(CELL("address",M22)=$E$10,1,M22)</f>
        <v>0</v>
      </c>
      <c r="W22" s="23" t="b">
        <f ca="1">IF(CELL("address",N22)=$E$10,1,N22)</f>
        <v>0</v>
      </c>
      <c r="X22" s="23" t="b">
        <f ca="1">IF(CELL("address",O22)=$E$10,1,O22)</f>
        <v>1</v>
      </c>
      <c r="Y22" s="23" t="b">
        <f ca="1">IF(CELL("address",P22)=$E$10,1,P22)</f>
        <v>0</v>
      </c>
      <c r="Z22" s="23" t="b">
        <f ca="1">IF(CELL("address",Q22)=$E$10,1,Q22)</f>
        <v>0</v>
      </c>
      <c r="AA22" s="23" t="b">
        <f ca="1">IF(CELL("address",R22)=$E$10,1,R22)</f>
        <v>0</v>
      </c>
      <c r="AB22" s="23" t="b">
        <f ca="1">IF(CELL("address",S22)=$E$10,1,S22)</f>
        <v>1</v>
      </c>
      <c r="AC22" s="24" t="b">
        <f ca="1">IF(CELL("address",T22)=$E$10,1,T22)</f>
        <v>0</v>
      </c>
    </row>
    <row r="23" spans="2:29" x14ac:dyDescent="0.45">
      <c r="F23" s="2"/>
      <c r="M23" t="s">
        <v>7</v>
      </c>
      <c r="N23" t="s">
        <v>8</v>
      </c>
      <c r="O23" t="s">
        <v>9</v>
      </c>
      <c r="P23" t="s">
        <v>10</v>
      </c>
      <c r="Q23" t="s">
        <v>11</v>
      </c>
      <c r="R23" t="s">
        <v>12</v>
      </c>
      <c r="S23" t="s">
        <v>13</v>
      </c>
      <c r="T23" t="s">
        <v>14</v>
      </c>
    </row>
    <row r="24" spans="2:29" ht="14.65" thickBot="1" x14ac:dyDescent="0.5">
      <c r="C24" s="34" t="s">
        <v>88</v>
      </c>
      <c r="D24" s="34"/>
      <c r="E24" s="34"/>
      <c r="F24" s="34"/>
      <c r="G24" s="34"/>
      <c r="H24" s="34"/>
      <c r="I24" s="34"/>
      <c r="J24" s="34"/>
      <c r="M24" s="34" t="s">
        <v>89</v>
      </c>
      <c r="N24" s="34"/>
      <c r="O24" s="34"/>
      <c r="P24" s="34"/>
      <c r="Q24" s="34"/>
      <c r="R24" s="34"/>
      <c r="S24" s="34"/>
      <c r="T24" s="34"/>
    </row>
    <row r="25" spans="2:29" ht="14.65" thickBot="1" x14ac:dyDescent="0.5">
      <c r="B25">
        <v>8</v>
      </c>
      <c r="C25" s="17" t="b">
        <f>IF(((C15=$C$9)+(VALUE(RIGHT($C$9,1))=$B25)+(LEFT($C$9,1)=C$33))&gt;=1,TRUE,FALSE)</f>
        <v>0</v>
      </c>
      <c r="D25" s="18" t="b">
        <f>IF(((D15=$C$9)+(VALUE(RIGHT($C$9,1))=$B25)+(LEFT($C$9,1)=D$33))&gt;=1,TRUE,FALSE)</f>
        <v>0</v>
      </c>
      <c r="E25" s="18" t="b">
        <f>IF(((E15=$C$9)+(VALUE(RIGHT($C$9,1))=$B25)+(LEFT($C$9,1)=E$33))&gt;=1,TRUE,FALSE)</f>
        <v>0</v>
      </c>
      <c r="F25" s="18" t="b">
        <f>IF(((F15=$C$9)+(VALUE(RIGHT($C$9,1))=$B25)+(LEFT($C$9,1)=F$33))&gt;=1,TRUE,FALSE)</f>
        <v>0</v>
      </c>
      <c r="G25" s="18" t="b">
        <f>IF(((G15=$C$9)+(VALUE(RIGHT($C$9,1))=$B25)+(LEFT($C$9,1)=G$33))&gt;=1,TRUE,FALSE)</f>
        <v>1</v>
      </c>
      <c r="H25" s="18" t="b">
        <f>IF(((H15=$C$9)+(VALUE(RIGHT($C$9,1))=$B25)+(LEFT($C$9,1)=H$33))&gt;=1,TRUE,FALSE)</f>
        <v>0</v>
      </c>
      <c r="I25" s="18" t="b">
        <f>IF(((I15=$C$9)+(VALUE(RIGHT($C$9,1))=$B25)+(LEFT($C$9,1)=I$33))&gt;=1,TRUE,FALSE)</f>
        <v>0</v>
      </c>
      <c r="J25" s="19" t="b">
        <f>IF(((J15=$C$9)+(VALUE(RIGHT($C$9,1))=$B25)+(LEFT($C$9,1)=J$33))&gt;=1,TRUE,FALSE)</f>
        <v>0</v>
      </c>
      <c r="L25">
        <v>8</v>
      </c>
      <c r="M25" s="17" t="b">
        <f>IF((C15=$C$9)+(VALUE(RIGHT($C$9,1))+1=$L25)*(LEFT($C$9,1)=M$33)&gt;=1,TRUE,FALSE)</f>
        <v>0</v>
      </c>
      <c r="N25" s="17" t="b">
        <f>IF((D15=$C$9)+(VALUE(RIGHT($C$9,1))+1=$L25)*(LEFT($C$9,1)=N$33)&gt;=1,TRUE,FALSE)</f>
        <v>0</v>
      </c>
      <c r="O25" s="17" t="b">
        <f>IF((E15=$C$9)+(VALUE(RIGHT($C$9,1))+1=$L25)*(LEFT($C$9,1)=O$33)&gt;=1,TRUE,FALSE)</f>
        <v>0</v>
      </c>
      <c r="P25" s="17" t="b">
        <f>IF((F15=$C$9)+(VALUE(RIGHT($C$9,1))+1=$L25)*(LEFT($C$9,1)=P$33)&gt;=1,TRUE,FALSE)</f>
        <v>0</v>
      </c>
      <c r="Q25" s="17" t="b">
        <f>IF((G15=$C$9)+(VALUE(RIGHT($C$9,1))+1=$L25)*(LEFT($C$9,1)=Q$33)&gt;=1,TRUE,FALSE)</f>
        <v>0</v>
      </c>
      <c r="R25" s="17" t="b">
        <f>IF((H15=$C$9)+(VALUE(RIGHT($C$9,1))+1=$L25)*(LEFT($C$9,1)=R$33)&gt;=1,TRUE,FALSE)</f>
        <v>0</v>
      </c>
      <c r="S25" s="17" t="b">
        <f>IF((I15=$C$9)+(VALUE(RIGHT($C$9,1))+1=$L25)*(LEFT($C$9,1)=S$33)&gt;=1,TRUE,FALSE)</f>
        <v>0</v>
      </c>
      <c r="T25" s="25" t="b">
        <f>IF((J15=$C$9)+(VALUE(RIGHT($C$9,1))+1=$L25)*(LEFT($C$9,1)=T$33)&gt;=1,TRUE,FALSE)</f>
        <v>0</v>
      </c>
    </row>
    <row r="26" spans="2:29" ht="14.65" thickBot="1" x14ac:dyDescent="0.5">
      <c r="B26">
        <v>7</v>
      </c>
      <c r="C26" s="20" t="b">
        <f>IF(((C16=$C$9)+(VALUE(RIGHT($C$9,1))=$B26)+(LEFT($C$9,1)=C$33))&gt;=1,TRUE,FALSE)</f>
        <v>0</v>
      </c>
      <c r="D26" s="12" t="b">
        <f>IF(((D16=$C$9)+(VALUE(RIGHT($C$9,1))=$B26)+(LEFT($C$9,1)=D$33))&gt;=1,TRUE,FALSE)</f>
        <v>0</v>
      </c>
      <c r="E26" s="12" t="b">
        <f>IF(((E16=$C$9)+(VALUE(RIGHT($C$9,1))=$B26)+(LEFT($C$9,1)=E$33))&gt;=1,TRUE,FALSE)</f>
        <v>0</v>
      </c>
      <c r="F26" s="12" t="b">
        <f>IF(((F16=$C$9)+(VALUE(RIGHT($C$9,1))=$B26)+(LEFT($C$9,1)=F$33))&gt;=1,TRUE,FALSE)</f>
        <v>0</v>
      </c>
      <c r="G26" s="12" t="b">
        <f>IF(((G16=$C$9)+(VALUE(RIGHT($C$9,1))=$B26)+(LEFT($C$9,1)=G$33))&gt;=1,TRUE,FALSE)</f>
        <v>1</v>
      </c>
      <c r="H26" s="12" t="b">
        <f>IF(((H16=$C$9)+(VALUE(RIGHT($C$9,1))=$B26)+(LEFT($C$9,1)=H$33))&gt;=1,TRUE,FALSE)</f>
        <v>0</v>
      </c>
      <c r="I26" s="12" t="b">
        <f>IF(((I16=$C$9)+(VALUE(RIGHT($C$9,1))=$B26)+(LEFT($C$9,1)=I$33))&gt;=1,TRUE,FALSE)</f>
        <v>0</v>
      </c>
      <c r="J26" s="21" t="b">
        <f>IF(((J16=$C$9)+(VALUE(RIGHT($C$9,1))=$B26)+(LEFT($C$9,1)=J$33))&gt;=1,TRUE,FALSE)</f>
        <v>0</v>
      </c>
      <c r="L26">
        <v>7</v>
      </c>
      <c r="M26" s="17" t="b">
        <f>IF((C16=$C$9)+(VALUE(RIGHT($C$9,1))+1=$L26)*(LEFT($C$9,1)=M$33)&gt;=1,TRUE,FALSE)</f>
        <v>0</v>
      </c>
      <c r="N26" s="17" t="b">
        <f>IF((D16=$C$9)+(VALUE(RIGHT($C$9,1))+1=$L26)*(LEFT($C$9,1)=N$33)&gt;=1,TRUE,FALSE)</f>
        <v>0</v>
      </c>
      <c r="O26" s="17" t="b">
        <f>IF((E16=$C$9)+(VALUE(RIGHT($C$9,1))+1=$L26)*(LEFT($C$9,1)=O$33)&gt;=1,TRUE,FALSE)</f>
        <v>0</v>
      </c>
      <c r="P26" s="17" t="b">
        <f>IF((F16=$C$9)+(VALUE(RIGHT($C$9,1))+1=$L26)*(LEFT($C$9,1)=P$33)&gt;=1,TRUE,FALSE)</f>
        <v>0</v>
      </c>
      <c r="Q26" s="17" t="b">
        <f>IF((G16=$C$9)+(VALUE(RIGHT($C$9,1))+1=$L26)*(LEFT($C$9,1)=Q$33)&gt;=1,TRUE,FALSE)</f>
        <v>0</v>
      </c>
      <c r="R26" s="17" t="b">
        <f>IF((H16=$C$9)+(VALUE(RIGHT($C$9,1))+1=$L26)*(LEFT($C$9,1)=R$33)&gt;=1,TRUE,FALSE)</f>
        <v>0</v>
      </c>
      <c r="S26" s="17" t="b">
        <f>IF((I16=$C$9)+(VALUE(RIGHT($C$9,1))+1=$L26)*(LEFT($C$9,1)=S$33)&gt;=1,TRUE,FALSE)</f>
        <v>0</v>
      </c>
      <c r="T26" s="25" t="b">
        <f>IF((J16=$C$9)+(VALUE(RIGHT($C$9,1))+1=$L26)*(LEFT($C$9,1)=T$33)&gt;=1,TRUE,FALSE)</f>
        <v>0</v>
      </c>
    </row>
    <row r="27" spans="2:29" ht="14.65" thickBot="1" x14ac:dyDescent="0.5">
      <c r="B27">
        <v>6</v>
      </c>
      <c r="C27" s="20" t="b">
        <f>IF(((C17=$C$9)+(VALUE(RIGHT($C$9,1))=$B27)+(LEFT($C$9,1)=C$33))&gt;=1,TRUE,FALSE)</f>
        <v>0</v>
      </c>
      <c r="D27" s="12" t="b">
        <f>IF(((D17=$C$9)+(VALUE(RIGHT($C$9,1))=$B27)+(LEFT($C$9,1)=D$33))&gt;=1,TRUE,FALSE)</f>
        <v>0</v>
      </c>
      <c r="E27" s="12" t="b">
        <f>IF(((E17=$C$9)+(VALUE(RIGHT($C$9,1))=$B27)+(LEFT($C$9,1)=E$33))&gt;=1,TRUE,FALSE)</f>
        <v>0</v>
      </c>
      <c r="F27" s="12" t="b">
        <f>IF(((F17=$C$9)+(VALUE(RIGHT($C$9,1))=$B27)+(LEFT($C$9,1)=F$33))&gt;=1,TRUE,FALSE)</f>
        <v>0</v>
      </c>
      <c r="G27" s="12" t="b">
        <f>IF(((G17=$C$9)+(VALUE(RIGHT($C$9,1))=$B27)+(LEFT($C$9,1)=G$33))&gt;=1,TRUE,FALSE)</f>
        <v>1</v>
      </c>
      <c r="H27" s="12" t="b">
        <f>IF(((H17=$C$9)+(VALUE(RIGHT($C$9,1))=$B27)+(LEFT($C$9,1)=H$33))&gt;=1,TRUE,FALSE)</f>
        <v>0</v>
      </c>
      <c r="I27" s="12" t="b">
        <f>IF(((I17=$C$9)+(VALUE(RIGHT($C$9,1))=$B27)+(LEFT($C$9,1)=I$33))&gt;=1,TRUE,FALSE)</f>
        <v>0</v>
      </c>
      <c r="J27" s="21" t="b">
        <f>IF(((J17=$C$9)+(VALUE(RIGHT($C$9,1))=$B27)+(LEFT($C$9,1)=J$33))&gt;=1,TRUE,FALSE)</f>
        <v>0</v>
      </c>
      <c r="L27">
        <v>6</v>
      </c>
      <c r="M27" s="17" t="b">
        <f>IF((C17=$C$9)+(VALUE(RIGHT($C$9,1))+1=$L27)*(LEFT($C$9,1)=M$33)&gt;=1,TRUE,FALSE)</f>
        <v>0</v>
      </c>
      <c r="N27" s="17" t="b">
        <f>IF((D17=$C$9)+(VALUE(RIGHT($C$9,1))+1=$L27)*(LEFT($C$9,1)=N$33)&gt;=1,TRUE,FALSE)</f>
        <v>0</v>
      </c>
      <c r="O27" s="17" t="b">
        <f>IF((E17=$C$9)+(VALUE(RIGHT($C$9,1))+1=$L27)*(LEFT($C$9,1)=O$33)&gt;=1,TRUE,FALSE)</f>
        <v>0</v>
      </c>
      <c r="P27" s="17" t="b">
        <f>IF((F17=$C$9)+(VALUE(RIGHT($C$9,1))+1=$L27)*(LEFT($C$9,1)=P$33)&gt;=1,TRUE,FALSE)</f>
        <v>0</v>
      </c>
      <c r="Q27" s="17" t="b">
        <f>IF((G17=$C$9)+(VALUE(RIGHT($C$9,1))+1=$L27)*(LEFT($C$9,1)=Q$33)&gt;=1,TRUE,FALSE)</f>
        <v>0</v>
      </c>
      <c r="R27" s="17" t="b">
        <f>IF((H17=$C$9)+(VALUE(RIGHT($C$9,1))+1=$L27)*(LEFT($C$9,1)=R$33)&gt;=1,TRUE,FALSE)</f>
        <v>0</v>
      </c>
      <c r="S27" s="17" t="b">
        <f>IF((I17=$C$9)+(VALUE(RIGHT($C$9,1))+1=$L27)*(LEFT($C$9,1)=S$33)&gt;=1,TRUE,FALSE)</f>
        <v>0</v>
      </c>
      <c r="T27" s="25" t="b">
        <f>IF((J17=$C$9)+(VALUE(RIGHT($C$9,1))+1=$L27)*(LEFT($C$9,1)=T$33)&gt;=1,TRUE,FALSE)</f>
        <v>0</v>
      </c>
    </row>
    <row r="28" spans="2:29" ht="14.65" thickBot="1" x14ac:dyDescent="0.5">
      <c r="B28">
        <v>5</v>
      </c>
      <c r="C28" s="20" t="b">
        <f>IF(((C18=$C$9)+(VALUE(RIGHT($C$9,1))=$B28)+(LEFT($C$9,1)=C$33))&gt;=1,TRUE,FALSE)</f>
        <v>0</v>
      </c>
      <c r="D28" s="12" t="b">
        <f>IF(((D18=$C$9)+(VALUE(RIGHT($C$9,1))=$B28)+(LEFT($C$9,1)=D$33))&gt;=1,TRUE,FALSE)</f>
        <v>0</v>
      </c>
      <c r="E28" s="12" t="b">
        <f>IF(((E18=$C$9)+(VALUE(RIGHT($C$9,1))=$B28)+(LEFT($C$9,1)=E$33))&gt;=1,TRUE,FALSE)</f>
        <v>0</v>
      </c>
      <c r="F28" s="12" t="b">
        <f>IF(((F18=$C$9)+(VALUE(RIGHT($C$9,1))=$B28)+(LEFT($C$9,1)=F$33))&gt;=1,TRUE,FALSE)</f>
        <v>0</v>
      </c>
      <c r="G28" s="12" t="b">
        <f>IF(((G18=$C$9)+(VALUE(RIGHT($C$9,1))=$B28)+(LEFT($C$9,1)=G$33))&gt;=1,TRUE,FALSE)</f>
        <v>1</v>
      </c>
      <c r="H28" s="12" t="b">
        <f>IF(((H18=$C$9)+(VALUE(RIGHT($C$9,1))=$B28)+(LEFT($C$9,1)=H$33))&gt;=1,TRUE,FALSE)</f>
        <v>0</v>
      </c>
      <c r="I28" s="12" t="b">
        <f>IF(((I18=$C$9)+(VALUE(RIGHT($C$9,1))=$B28)+(LEFT($C$9,1)=I$33))&gt;=1,TRUE,FALSE)</f>
        <v>0</v>
      </c>
      <c r="J28" s="21" t="b">
        <f>IF(((J18=$C$9)+(VALUE(RIGHT($C$9,1))=$B28)+(LEFT($C$9,1)=J$33))&gt;=1,TRUE,FALSE)</f>
        <v>0</v>
      </c>
      <c r="L28">
        <v>5</v>
      </c>
      <c r="M28" s="17" t="b">
        <f>IF((C18=$C$9)+(VALUE(RIGHT($C$9,1))+1=$L28)*(LEFT($C$9,1)=M$33)&gt;=1,TRUE,FALSE)</f>
        <v>0</v>
      </c>
      <c r="N28" s="17" t="b">
        <f>IF((D18=$C$9)+(VALUE(RIGHT($C$9,1))+1=$L28)*(LEFT($C$9,1)=N$33)&gt;=1,TRUE,FALSE)</f>
        <v>0</v>
      </c>
      <c r="O28" s="17" t="b">
        <f>IF((E18=$C$9)+(VALUE(RIGHT($C$9,1))+1=$L28)*(LEFT($C$9,1)=O$33)&gt;=1,TRUE,FALSE)</f>
        <v>0</v>
      </c>
      <c r="P28" s="17" t="b">
        <f>IF((F18=$C$9)+(VALUE(RIGHT($C$9,1))+1=$L28)*(LEFT($C$9,1)=P$33)&gt;=1,TRUE,FALSE)</f>
        <v>0</v>
      </c>
      <c r="Q28" s="17" t="b">
        <f>IF((G18=$C$9)+(VALUE(RIGHT($C$9,1))+1=$L28)*(LEFT($C$9,1)=Q$33)&gt;=1,TRUE,FALSE)</f>
        <v>0</v>
      </c>
      <c r="R28" s="17" t="b">
        <f>IF((H18=$C$9)+(VALUE(RIGHT($C$9,1))+1=$L28)*(LEFT($C$9,1)=R$33)&gt;=1,TRUE,FALSE)</f>
        <v>0</v>
      </c>
      <c r="S28" s="17" t="b">
        <f>IF((I18=$C$9)+(VALUE(RIGHT($C$9,1))+1=$L28)*(LEFT($C$9,1)=S$33)&gt;=1,TRUE,FALSE)</f>
        <v>0</v>
      </c>
      <c r="T28" s="25" t="b">
        <f>IF((J18=$C$9)+(VALUE(RIGHT($C$9,1))+1=$L28)*(LEFT($C$9,1)=T$33)&gt;=1,TRUE,FALSE)</f>
        <v>0</v>
      </c>
    </row>
    <row r="29" spans="2:29" ht="14.65" thickBot="1" x14ac:dyDescent="0.5">
      <c r="B29">
        <v>4</v>
      </c>
      <c r="C29" s="20" t="b">
        <f>IF(((C19=$C$9)+(VALUE(RIGHT($C$9,1))=$B29)+(LEFT($C$9,1)=C$33))&gt;=1,TRUE,FALSE)</f>
        <v>0</v>
      </c>
      <c r="D29" s="12" t="b">
        <f>IF(((D19=$C$9)+(VALUE(RIGHT($C$9,1))=$B29)+(LEFT($C$9,1)=D$33))&gt;=1,TRUE,FALSE)</f>
        <v>0</v>
      </c>
      <c r="E29" s="12" t="b">
        <f>IF(((E19=$C$9)+(VALUE(RIGHT($C$9,1))=$B29)+(LEFT($C$9,1)=E$33))&gt;=1,TRUE,FALSE)</f>
        <v>0</v>
      </c>
      <c r="F29" s="12" t="b">
        <f>IF(((F19=$C$9)+(VALUE(RIGHT($C$9,1))=$B29)+(LEFT($C$9,1)=F$33))&gt;=1,TRUE,FALSE)</f>
        <v>0</v>
      </c>
      <c r="G29" s="12" t="b">
        <f>IF(((G19=$C$9)+(VALUE(RIGHT($C$9,1))=$B29)+(LEFT($C$9,1)=G$33))&gt;=1,TRUE,FALSE)</f>
        <v>1</v>
      </c>
      <c r="H29" s="12" t="b">
        <f>IF(((H19=$C$9)+(VALUE(RIGHT($C$9,1))=$B29)+(LEFT($C$9,1)=H$33))&gt;=1,TRUE,FALSE)</f>
        <v>0</v>
      </c>
      <c r="I29" s="12" t="b">
        <f>IF(((I19=$C$9)+(VALUE(RIGHT($C$9,1))=$B29)+(LEFT($C$9,1)=I$33))&gt;=1,TRUE,FALSE)</f>
        <v>0</v>
      </c>
      <c r="J29" s="21" t="b">
        <f>IF(((J19=$C$9)+(VALUE(RIGHT($C$9,1))=$B29)+(LEFT($C$9,1)=J$33))&gt;=1,TRUE,FALSE)</f>
        <v>0</v>
      </c>
      <c r="L29">
        <v>4</v>
      </c>
      <c r="M29" s="17" t="b">
        <f>IF((C19=$C$9)+(VALUE(RIGHT($C$9,1))+1=$L29)*(LEFT($C$9,1)=M$33)&gt;=1,TRUE,FALSE)</f>
        <v>0</v>
      </c>
      <c r="N29" s="17" t="b">
        <f>IF((D19=$C$9)+(VALUE(RIGHT($C$9,1))+1=$L29)*(LEFT($C$9,1)=N$33)&gt;=1,TRUE,FALSE)</f>
        <v>0</v>
      </c>
      <c r="O29" s="17" t="b">
        <f>IF((E19=$C$9)+(VALUE(RIGHT($C$9,1))+1=$L29)*(LEFT($C$9,1)=O$33)&gt;=1,TRUE,FALSE)</f>
        <v>0</v>
      </c>
      <c r="P29" s="17" t="b">
        <f>IF((F19=$C$9)+(VALUE(RIGHT($C$9,1))+1=$L29)*(LEFT($C$9,1)=P$33)&gt;=1,TRUE,FALSE)</f>
        <v>0</v>
      </c>
      <c r="Q29" s="17" t="b">
        <f>IF((G19=$C$9)+(VALUE(RIGHT($C$9,1))+1=$L29)*(LEFT($C$9,1)=Q$33)&gt;=1,TRUE,FALSE)</f>
        <v>1</v>
      </c>
      <c r="R29" s="17" t="b">
        <f>IF((H19=$C$9)+(VALUE(RIGHT($C$9,1))+1=$L29)*(LEFT($C$9,1)=R$33)&gt;=1,TRUE,FALSE)</f>
        <v>0</v>
      </c>
      <c r="S29" s="17" t="b">
        <f>IF((I19=$C$9)+(VALUE(RIGHT($C$9,1))+1=$L29)*(LEFT($C$9,1)=S$33)&gt;=1,TRUE,FALSE)</f>
        <v>0</v>
      </c>
      <c r="T29" s="25" t="b">
        <f>IF((J19=$C$9)+(VALUE(RIGHT($C$9,1))+1=$L29)*(LEFT($C$9,1)=T$33)&gt;=1,TRUE,FALSE)</f>
        <v>0</v>
      </c>
    </row>
    <row r="30" spans="2:29" ht="14.65" thickBot="1" x14ac:dyDescent="0.5">
      <c r="B30">
        <v>3</v>
      </c>
      <c r="C30" s="20" t="b">
        <f>IF(((C20=$C$9)+(VALUE(RIGHT($C$9,1))=$B30)+(LEFT($C$9,1)=C$33))&gt;=1,TRUE,FALSE)</f>
        <v>1</v>
      </c>
      <c r="D30" s="12" t="b">
        <f>IF(((D20=$C$9)+(VALUE(RIGHT($C$9,1))=$B30)+(LEFT($C$9,1)=D$33))&gt;=1,TRUE,FALSE)</f>
        <v>1</v>
      </c>
      <c r="E30" s="12" t="b">
        <f>IF(((E20=$C$9)+(VALUE(RIGHT($C$9,1))=$B30)+(LEFT($C$9,1)=E$33))&gt;=1,TRUE,FALSE)</f>
        <v>1</v>
      </c>
      <c r="F30" s="12" t="b">
        <f>IF(((F20=$C$9)+(VALUE(RIGHT($C$9,1))=$B30)+(LEFT($C$9,1)=F$33))&gt;=1,TRUE,FALSE)</f>
        <v>1</v>
      </c>
      <c r="G30" s="12" t="b">
        <f>IF(((G20=$C$9)+(VALUE(RIGHT($C$9,1))=$B30)+(LEFT($C$9,1)=G$33))&gt;=1,TRUE,FALSE)</f>
        <v>1</v>
      </c>
      <c r="H30" s="12" t="b">
        <f>IF(((H20=$C$9)+(VALUE(RIGHT($C$9,1))=$B30)+(LEFT($C$9,1)=H$33))&gt;=1,TRUE,FALSE)</f>
        <v>1</v>
      </c>
      <c r="I30" s="12" t="b">
        <f>IF(((I20=$C$9)+(VALUE(RIGHT($C$9,1))=$B30)+(LEFT($C$9,1)=I$33))&gt;=1,TRUE,FALSE)</f>
        <v>1</v>
      </c>
      <c r="J30" s="21" t="b">
        <f>IF(((J20=$C$9)+(VALUE(RIGHT($C$9,1))=$B30)+(LEFT($C$9,1)=J$33))&gt;=1,TRUE,FALSE)</f>
        <v>1</v>
      </c>
      <c r="L30">
        <v>3</v>
      </c>
      <c r="M30" s="17" t="b">
        <f>IF((C20=$C$9)+(VALUE(RIGHT($C$9,1))+1=$L30)*(LEFT($C$9,1)=M$33)&gt;=1,TRUE,FALSE)</f>
        <v>0</v>
      </c>
      <c r="N30" s="17" t="b">
        <f>IF((D20=$C$9)+(VALUE(RIGHT($C$9,1))+1=$L30)*(LEFT($C$9,1)=N$33)&gt;=1,TRUE,FALSE)</f>
        <v>0</v>
      </c>
      <c r="O30" s="17" t="b">
        <f>IF((E20=$C$9)+(VALUE(RIGHT($C$9,1))+1=$L30)*(LEFT($C$9,1)=O$33)&gt;=1,TRUE,FALSE)</f>
        <v>0</v>
      </c>
      <c r="P30" s="17" t="b">
        <f>IF((F20=$C$9)+(VALUE(RIGHT($C$9,1))+1=$L30)*(LEFT($C$9,1)=P$33)&gt;=1,TRUE,FALSE)</f>
        <v>0</v>
      </c>
      <c r="Q30" s="17" t="b">
        <f>IF((G20=$C$9)+(VALUE(RIGHT($C$9,1))+1=$L30)*(LEFT($C$9,1)=Q$33)&gt;=1,TRUE,FALSE)</f>
        <v>1</v>
      </c>
      <c r="R30" s="17" t="b">
        <f>IF((H20=$C$9)+(VALUE(RIGHT($C$9,1))+1=$L30)*(LEFT($C$9,1)=R$33)&gt;=1,TRUE,FALSE)</f>
        <v>0</v>
      </c>
      <c r="S30" s="17" t="b">
        <f>IF((I20=$C$9)+(VALUE(RIGHT($C$9,1))+1=$L30)*(LEFT($C$9,1)=S$33)&gt;=1,TRUE,FALSE)</f>
        <v>0</v>
      </c>
      <c r="T30" s="25" t="b">
        <f>IF((J20=$C$9)+(VALUE(RIGHT($C$9,1))+1=$L30)*(LEFT($C$9,1)=T$33)&gt;=1,TRUE,FALSE)</f>
        <v>0</v>
      </c>
    </row>
    <row r="31" spans="2:29" ht="14.65" thickBot="1" x14ac:dyDescent="0.5">
      <c r="B31">
        <v>2</v>
      </c>
      <c r="C31" s="20" t="b">
        <f>IF(((C21=$C$9)+(VALUE(RIGHT($C$9,1))=$B31)+(LEFT($C$9,1)=C$33))&gt;=1,TRUE,FALSE)</f>
        <v>0</v>
      </c>
      <c r="D31" s="12" t="b">
        <f>IF(((D21=$C$9)+(VALUE(RIGHT($C$9,1))=$B31)+(LEFT($C$9,1)=D$33))&gt;=1,TRUE,FALSE)</f>
        <v>0</v>
      </c>
      <c r="E31" s="12" t="b">
        <f>IF(((E21=$C$9)+(VALUE(RIGHT($C$9,1))=$B31)+(LEFT($C$9,1)=E$33))&gt;=1,TRUE,FALSE)</f>
        <v>0</v>
      </c>
      <c r="F31" s="12" t="b">
        <f>IF(((F21=$C$9)+(VALUE(RIGHT($C$9,1))=$B31)+(LEFT($C$9,1)=F$33))&gt;=1,TRUE,FALSE)</f>
        <v>0</v>
      </c>
      <c r="G31" s="12" t="b">
        <f>IF(((G21=$C$9)+(VALUE(RIGHT($C$9,1))=$B31)+(LEFT($C$9,1)=G$33))&gt;=1,TRUE,FALSE)</f>
        <v>1</v>
      </c>
      <c r="H31" s="12" t="b">
        <f>IF(((H21=$C$9)+(VALUE(RIGHT($C$9,1))=$B31)+(LEFT($C$9,1)=H$33))&gt;=1,TRUE,FALSE)</f>
        <v>0</v>
      </c>
      <c r="I31" s="12" t="b">
        <f>IF(((I21=$C$9)+(VALUE(RIGHT($C$9,1))=$B31)+(LEFT($C$9,1)=I$33))&gt;=1,TRUE,FALSE)</f>
        <v>0</v>
      </c>
      <c r="J31" s="21" t="b">
        <f>IF(((J21=$C$9)+(VALUE(RIGHT($C$9,1))=$B31)+(LEFT($C$9,1)=J$33))&gt;=1,TRUE,FALSE)</f>
        <v>0</v>
      </c>
      <c r="L31">
        <v>2</v>
      </c>
      <c r="M31" s="17" t="b">
        <f>IF((C21=$C$9)+(VALUE(RIGHT($C$9,1))+1=$L31)*(LEFT($C$9,1)=M$33)&gt;=1,TRUE,FALSE)</f>
        <v>0</v>
      </c>
      <c r="N31" s="17" t="b">
        <f>IF((D21=$C$9)+(VALUE(RIGHT($C$9,1))+1=$L31)*(LEFT($C$9,1)=N$33)&gt;=1,TRUE,FALSE)</f>
        <v>0</v>
      </c>
      <c r="O31" s="17" t="b">
        <f>IF((E21=$C$9)+(VALUE(RIGHT($C$9,1))+1=$L31)*(LEFT($C$9,1)=O$33)&gt;=1,TRUE,FALSE)</f>
        <v>0</v>
      </c>
      <c r="P31" s="17" t="b">
        <f>IF((F21=$C$9)+(VALUE(RIGHT($C$9,1))+1=$L31)*(LEFT($C$9,1)=P$33)&gt;=1,TRUE,FALSE)</f>
        <v>0</v>
      </c>
      <c r="Q31" s="17" t="b">
        <f>IF((G21=$C$9)+(VALUE(RIGHT($C$9,1))+1=$L31)*(LEFT($C$9,1)=Q$33)&gt;=1,TRUE,FALSE)</f>
        <v>0</v>
      </c>
      <c r="R31" s="17" t="b">
        <f>IF((H21=$C$9)+(VALUE(RIGHT($C$9,1))+1=$L31)*(LEFT($C$9,1)=R$33)&gt;=1,TRUE,FALSE)</f>
        <v>0</v>
      </c>
      <c r="S31" s="17" t="b">
        <f>IF((I21=$C$9)+(VALUE(RIGHT($C$9,1))+1=$L31)*(LEFT($C$9,1)=S$33)&gt;=1,TRUE,FALSE)</f>
        <v>0</v>
      </c>
      <c r="T31" s="25" t="b">
        <f>IF((J21=$C$9)+(VALUE(RIGHT($C$9,1))+1=$L31)*(LEFT($C$9,1)=T$33)&gt;=1,TRUE,FALSE)</f>
        <v>0</v>
      </c>
    </row>
    <row r="32" spans="2:29" ht="14.65" thickBot="1" x14ac:dyDescent="0.5">
      <c r="B32">
        <v>1</v>
      </c>
      <c r="C32" s="22" t="b">
        <f>IF(((C22=$C$9)+(VALUE(RIGHT($C$9,1))=$B32)+(LEFT($C$9,1)=C$33))&gt;=1,TRUE,FALSE)</f>
        <v>0</v>
      </c>
      <c r="D32" s="23" t="b">
        <f>IF(((D22=$C$9)+(VALUE(RIGHT($C$9,1))=$B32)+(LEFT($C$9,1)=D$33))&gt;=1,TRUE,FALSE)</f>
        <v>0</v>
      </c>
      <c r="E32" s="23" t="b">
        <f>IF(((E22=$C$9)+(VALUE(RIGHT($C$9,1))=$B32)+(LEFT($C$9,1)=E$33))&gt;=1,TRUE,FALSE)</f>
        <v>0</v>
      </c>
      <c r="F32" s="23" t="b">
        <f>IF(((F22=$C$9)+(VALUE(RIGHT($C$9,1))=$B32)+(LEFT($C$9,1)=F$33))&gt;=1,TRUE,FALSE)</f>
        <v>0</v>
      </c>
      <c r="G32" s="23" t="b">
        <f>IF(((G22=$C$9)+(VALUE(RIGHT($C$9,1))=$B32)+(LEFT($C$9,1)=G$33))&gt;=1,TRUE,FALSE)</f>
        <v>1</v>
      </c>
      <c r="H32" s="23" t="b">
        <f>IF(((H22=$C$9)+(VALUE(RIGHT($C$9,1))=$B32)+(LEFT($C$9,1)=H$33))&gt;=1,TRUE,FALSE)</f>
        <v>0</v>
      </c>
      <c r="I32" s="23" t="b">
        <f>IF(((I22=$C$9)+(VALUE(RIGHT($C$9,1))=$B32)+(LEFT($C$9,1)=I$33))&gt;=1,TRUE,FALSE)</f>
        <v>0</v>
      </c>
      <c r="J32" s="24" t="b">
        <f>IF(((J22=$C$9)+(VALUE(RIGHT($C$9,1))=$B32)+(LEFT($C$9,1)=J$33))&gt;=1,TRUE,FALSE)</f>
        <v>0</v>
      </c>
      <c r="L32">
        <v>1</v>
      </c>
      <c r="M32" s="26" t="b">
        <f>IF((C22=$C$9)+(VALUE(RIGHT($C$9,1))+1=$L32)*(LEFT($C$9,1)=M$33)&gt;=1,TRUE,FALSE)</f>
        <v>0</v>
      </c>
      <c r="N32" s="26" t="b">
        <f>IF((D22=$C$9)+(VALUE(RIGHT($C$9,1))+1=$L32)*(LEFT($C$9,1)=N$33)&gt;=1,TRUE,FALSE)</f>
        <v>0</v>
      </c>
      <c r="O32" s="26" t="b">
        <f>IF((E22=$C$9)+(VALUE(RIGHT($C$9,1))+1=$L32)*(LEFT($C$9,1)=O$33)&gt;=1,TRUE,FALSE)</f>
        <v>0</v>
      </c>
      <c r="P32" s="26" t="b">
        <f>IF((F22=$C$9)+(VALUE(RIGHT($C$9,1))+1=$L32)*(LEFT($C$9,1)=P$33)&gt;=1,TRUE,FALSE)</f>
        <v>0</v>
      </c>
      <c r="Q32" s="26" t="b">
        <f>IF((G22=$C$9)+(VALUE(RIGHT($C$9,1))+1=$L32)*(LEFT($C$9,1)=Q$33)&gt;=1,TRUE,FALSE)</f>
        <v>0</v>
      </c>
      <c r="R32" s="26" t="b">
        <f>IF((H22=$C$9)+(VALUE(RIGHT($C$9,1))+1=$L32)*(LEFT($C$9,1)=R$33)&gt;=1,TRUE,FALSE)</f>
        <v>0</v>
      </c>
      <c r="S32" s="26" t="b">
        <f>IF((I22=$C$9)+(VALUE(RIGHT($C$9,1))+1=$L32)*(LEFT($C$9,1)=S$33)&gt;=1,TRUE,FALSE)</f>
        <v>0</v>
      </c>
      <c r="T32" s="27" t="b">
        <f>IF((J22=$C$9)+(VALUE(RIGHT($C$9,1))+1=$L32)*(LEFT($C$9,1)=T$33)&gt;=1,TRUE,FALSE)</f>
        <v>0</v>
      </c>
    </row>
    <row r="33" spans="2:20" x14ac:dyDescent="0.45">
      <c r="C33" t="s">
        <v>7</v>
      </c>
      <c r="D33" t="s">
        <v>8</v>
      </c>
      <c r="E33" t="s">
        <v>9</v>
      </c>
      <c r="F33" t="s">
        <v>10</v>
      </c>
      <c r="G33" t="s">
        <v>11</v>
      </c>
      <c r="H33" t="s">
        <v>12</v>
      </c>
      <c r="I33" t="s">
        <v>13</v>
      </c>
      <c r="J33" t="s">
        <v>14</v>
      </c>
      <c r="M33" t="s">
        <v>7</v>
      </c>
      <c r="N33" t="s">
        <v>8</v>
      </c>
      <c r="O33" t="s">
        <v>9</v>
      </c>
      <c r="P33" t="s">
        <v>10</v>
      </c>
      <c r="Q33" t="s">
        <v>11</v>
      </c>
      <c r="R33" t="s">
        <v>12</v>
      </c>
      <c r="S33" t="s">
        <v>13</v>
      </c>
      <c r="T33" t="s">
        <v>14</v>
      </c>
    </row>
    <row r="34" spans="2:20" x14ac:dyDescent="0.45">
      <c r="C34" s="7">
        <v>1</v>
      </c>
      <c r="D34" s="7">
        <v>2</v>
      </c>
      <c r="E34" s="7">
        <v>3</v>
      </c>
      <c r="F34" s="7">
        <v>4</v>
      </c>
      <c r="G34" s="7">
        <v>5</v>
      </c>
      <c r="H34" s="7">
        <v>6</v>
      </c>
      <c r="I34" s="7">
        <v>7</v>
      </c>
      <c r="J34" s="7">
        <v>8</v>
      </c>
      <c r="M34" s="7">
        <v>1</v>
      </c>
      <c r="N34" s="7">
        <v>2</v>
      </c>
      <c r="O34" s="7">
        <v>3</v>
      </c>
      <c r="P34" s="7">
        <v>4</v>
      </c>
      <c r="Q34" s="7">
        <v>5</v>
      </c>
      <c r="R34" s="7">
        <v>6</v>
      </c>
      <c r="S34" s="7">
        <v>7</v>
      </c>
      <c r="T34" s="7">
        <v>8</v>
      </c>
    </row>
    <row r="36" spans="2:20" ht="14.65" thickBot="1" x14ac:dyDescent="0.5">
      <c r="C36" s="34" t="s">
        <v>90</v>
      </c>
      <c r="D36" s="34"/>
      <c r="E36" s="34"/>
      <c r="F36" s="34"/>
      <c r="G36" s="34"/>
      <c r="H36" s="34"/>
      <c r="I36" s="34"/>
      <c r="J36" s="34"/>
      <c r="M36" s="32" t="s">
        <v>91</v>
      </c>
      <c r="N36" s="32"/>
      <c r="O36" s="32"/>
      <c r="P36" s="32"/>
      <c r="Q36" s="32"/>
      <c r="R36" s="32"/>
      <c r="S36" s="32"/>
      <c r="T36" s="32"/>
    </row>
    <row r="37" spans="2:20" ht="14.65" thickBot="1" x14ac:dyDescent="0.5">
      <c r="B37">
        <v>8</v>
      </c>
      <c r="C37" s="17" t="b">
        <f>IF((C15=$C$9)+((ABS(MATCH(LEFT($C$9,1),$C$45:$J$45,0)-C$46))=(ABS(VALUE(RIGHT($C$9,1))-$B37)))&gt;=1,TRUE,FALSE)</f>
        <v>0</v>
      </c>
      <c r="D37" s="17" t="b">
        <f>IF((D15=$C$9)+((ABS(MATCH(LEFT($C$9,1),$C$45:$J$45,0)-D$46))=(ABS(VALUE(RIGHT($C$9,1))-$B37)))&gt;=1,TRUE,FALSE)</f>
        <v>0</v>
      </c>
      <c r="E37" s="17" t="b">
        <f>IF((E15=$C$9)+((ABS(MATCH(LEFT($C$9,1),$C$45:$J$45,0)-E$46))=(ABS(VALUE(RIGHT($C$9,1))-$B37)))&gt;=1,TRUE,FALSE)</f>
        <v>0</v>
      </c>
      <c r="F37" s="17" t="b">
        <f>IF((F15=$C$9)+((ABS(MATCH(LEFT($C$9,1),$C$45:$J$45,0)-F$46))=(ABS(VALUE(RIGHT($C$9,1))-$B37)))&gt;=1,TRUE,FALSE)</f>
        <v>0</v>
      </c>
      <c r="G37" s="17" t="b">
        <f>IF((G15=$C$9)+((ABS(MATCH(LEFT($C$9,1),$C$45:$J$45,0)-G$46))=(ABS(VALUE(RIGHT($C$9,1))-$B37)))&gt;=1,TRUE,FALSE)</f>
        <v>0</v>
      </c>
      <c r="H37" s="17" t="b">
        <f>IF((H15=$C$9)+((ABS(MATCH(LEFT($C$9,1),$C$45:$J$45,0)-H$46))=(ABS(VALUE(RIGHT($C$9,1))-$B37)))&gt;=1,TRUE,FALSE)</f>
        <v>0</v>
      </c>
      <c r="I37" s="17" t="b">
        <f>IF((I15=$C$9)+((ABS(MATCH(LEFT($C$9,1),$C$45:$J$45,0)-I$46))=(ABS(VALUE(RIGHT($C$9,1))-$B37)))&gt;=1,TRUE,FALSE)</f>
        <v>0</v>
      </c>
      <c r="J37" s="25" t="b">
        <f>IF((J15=$C$9)+((ABS(MATCH(LEFT($C$9,1),$C$45:$J$45,0)-J$46))=(ABS(VALUE(RIGHT($C$9,1))-$B37)))&gt;=1,TRUE,FALSE)</f>
        <v>0</v>
      </c>
      <c r="L37">
        <v>8</v>
      </c>
      <c r="M37" s="17" t="b">
        <f>IF((C15=$C$9)+(VALUE(RIGHT($C$9,1))=$L37)*(OR(M$46+1=(MATCH(LEFT($C$9,1),$M$45:$T$45,0)),M$46-1=(MATCH(LEFT($C$9,1),$M$45:$T$45,0))))+(MATCH(LEFT($C$9,1),$M$45:$T$45,0)=M$46)*(OR($L37+1=VALUE(RIGHT($C$9,1)),$L37-1=VALUE(RIGHT($C$9,1))))&gt;=1,TRUE,FALSE)</f>
        <v>0</v>
      </c>
      <c r="N37" s="17" t="b">
        <f>IF((D15=$C$9)+(VALUE(RIGHT($C$9,1))=$L37)*(OR(N$46+1=(MATCH(LEFT($C$9,1),$M$45:$T$45,0)),N$46-1=(MATCH(LEFT($C$9,1),$M$45:$T$45,0))))+(MATCH(LEFT($C$9,1),$M$45:$T$45,0)=N$46)*(OR($L37+1=VALUE(RIGHT($C$9,1)),$L37-1=VALUE(RIGHT($C$9,1))))&gt;=1,TRUE,FALSE)</f>
        <v>0</v>
      </c>
      <c r="O37" s="17" t="b">
        <f>IF((E15=$C$9)+(VALUE(RIGHT($C$9,1))=$L37)*(OR(O$46+1=(MATCH(LEFT($C$9,1),$M$45:$T$45,0)),O$46-1=(MATCH(LEFT($C$9,1),$M$45:$T$45,0))))+(MATCH(LEFT($C$9,1),$M$45:$T$45,0)=O$46)*(OR($L37+1=VALUE(RIGHT($C$9,1)),$L37-1=VALUE(RIGHT($C$9,1))))&gt;=1,TRUE,FALSE)</f>
        <v>0</v>
      </c>
      <c r="P37" s="17" t="b">
        <f>IF((F15=$C$9)+(VALUE(RIGHT($C$9,1))=$L37)*(OR(P$46+1=(MATCH(LEFT($C$9,1),$M$45:$T$45,0)),P$46-1=(MATCH(LEFT($C$9,1),$M$45:$T$45,0))))+(MATCH(LEFT($C$9,1),$M$45:$T$45,0)=P$46)*(OR($L37+1=VALUE(RIGHT($C$9,1)),$L37-1=VALUE(RIGHT($C$9,1))))&gt;=1,TRUE,FALSE)</f>
        <v>0</v>
      </c>
      <c r="Q37" s="17" t="b">
        <f>IF((G15=$C$9)+(VALUE(RIGHT($C$9,1))=$L37)*(OR(Q$46+1=(MATCH(LEFT($C$9,1),$M$45:$T$45,0)),Q$46-1=(MATCH(LEFT($C$9,1),$M$45:$T$45,0))))+(MATCH(LEFT($C$9,1),$M$45:$T$45,0)=Q$46)*(OR($L37+1=VALUE(RIGHT($C$9,1)),$L37-1=VALUE(RIGHT($C$9,1))))&gt;=1,TRUE,FALSE)</f>
        <v>0</v>
      </c>
      <c r="R37" s="17" t="b">
        <f>IF((H15=$C$9)+(VALUE(RIGHT($C$9,1))=$L37)*(OR(R$46+1=(MATCH(LEFT($C$9,1),$M$45:$T$45,0)),R$46-1=(MATCH(LEFT($C$9,1),$M$45:$T$45,0))))+(MATCH(LEFT($C$9,1),$M$45:$T$45,0)=R$46)*(OR($L37+1=VALUE(RIGHT($C$9,1)),$L37-1=VALUE(RIGHT($C$9,1))))&gt;=1,TRUE,FALSE)</f>
        <v>0</v>
      </c>
      <c r="S37" s="17" t="b">
        <f>IF((I15=$C$9)+(VALUE(RIGHT($C$9,1))=$L37)*(OR(S$46+1=(MATCH(LEFT($C$9,1),$M$45:$T$45,0)),S$46-1=(MATCH(LEFT($C$9,1),$M$45:$T$45,0))))+(MATCH(LEFT($C$9,1),$M$45:$T$45,0)=S$46)*(OR($L37+1=VALUE(RIGHT($C$9,1)),$L37-1=VALUE(RIGHT($C$9,1))))&gt;=1,TRUE,FALSE)</f>
        <v>0</v>
      </c>
      <c r="T37" s="25" t="b">
        <f>IF((J15=$C$9)+(VALUE(RIGHT($C$9,1))=$L37)*(OR(T$46+1=(MATCH(LEFT($C$9,1),$M$45:$T$45,0)),T$46-1=(MATCH(LEFT($C$9,1),$M$45:$T$45,0))))+(MATCH(LEFT($C$9,1),$M$45:$T$45,0)=T$46)*(OR($L37+1=VALUE(RIGHT($C$9,1)),$L37-1=VALUE(RIGHT($C$9,1))))&gt;=1,TRUE,FALSE)</f>
        <v>0</v>
      </c>
    </row>
    <row r="38" spans="2:20" ht="14.65" thickBot="1" x14ac:dyDescent="0.5">
      <c r="B38">
        <v>7</v>
      </c>
      <c r="C38" s="17" t="b">
        <f>IF((C16=$C$9)+((ABS(MATCH(LEFT($C$9,1),$C$45:$J$45,0)-C$46))=(ABS(VALUE(RIGHT($C$9,1))-$B38)))&gt;=1,TRUE,FALSE)</f>
        <v>1</v>
      </c>
      <c r="D38" s="17" t="b">
        <f>IF((D16=$C$9)+((ABS(MATCH(LEFT($C$9,1),$C$45:$J$45,0)-D$46))=(ABS(VALUE(RIGHT($C$9,1))-$B38)))&gt;=1,TRUE,FALSE)</f>
        <v>0</v>
      </c>
      <c r="E38" s="17" t="b">
        <f>IF((E16=$C$9)+((ABS(MATCH(LEFT($C$9,1),$C$45:$J$45,0)-E$46))=(ABS(VALUE(RIGHT($C$9,1))-$B38)))&gt;=1,TRUE,FALSE)</f>
        <v>0</v>
      </c>
      <c r="F38" s="17" t="b">
        <f>IF((F16=$C$9)+((ABS(MATCH(LEFT($C$9,1),$C$45:$J$45,0)-F$46))=(ABS(VALUE(RIGHT($C$9,1))-$B38)))&gt;=1,TRUE,FALSE)</f>
        <v>0</v>
      </c>
      <c r="G38" s="17" t="b">
        <f>IF((G16=$C$9)+((ABS(MATCH(LEFT($C$9,1),$C$45:$J$45,0)-G$46))=(ABS(VALUE(RIGHT($C$9,1))-$B38)))&gt;=1,TRUE,FALSE)</f>
        <v>0</v>
      </c>
      <c r="H38" s="17" t="b">
        <f>IF((H16=$C$9)+((ABS(MATCH(LEFT($C$9,1),$C$45:$J$45,0)-H$46))=(ABS(VALUE(RIGHT($C$9,1))-$B38)))&gt;=1,TRUE,FALSE)</f>
        <v>0</v>
      </c>
      <c r="I38" s="17" t="b">
        <f>IF((I16=$C$9)+((ABS(MATCH(LEFT($C$9,1),$C$45:$J$45,0)-I$46))=(ABS(VALUE(RIGHT($C$9,1))-$B38)))&gt;=1,TRUE,FALSE)</f>
        <v>0</v>
      </c>
      <c r="J38" s="25" t="b">
        <f>IF((J16=$C$9)+((ABS(MATCH(LEFT($C$9,1),$C$45:$J$45,0)-J$46))=(ABS(VALUE(RIGHT($C$9,1))-$B38)))&gt;=1,TRUE,FALSE)</f>
        <v>0</v>
      </c>
      <c r="L38">
        <v>7</v>
      </c>
      <c r="M38" s="17" t="b">
        <f>IF((C16=$C$9)+(VALUE(RIGHT($C$9,1))=$L38)*(OR(M$46+1=(MATCH(LEFT($C$9,1),$M$45:$T$45,0)),M$46-1=(MATCH(LEFT($C$9,1),$M$45:$T$45,0))))+(MATCH(LEFT($C$9,1),$M$45:$T$45,0)=M$46)*(OR($L38+1=VALUE(RIGHT($C$9,1)),$L38-1=VALUE(RIGHT($C$9,1))))&gt;=1,TRUE,FALSE)</f>
        <v>0</v>
      </c>
      <c r="N38" s="17" t="b">
        <f>IF((D16=$C$9)+(VALUE(RIGHT($C$9,1))=$L38)*(OR(N$46+1=(MATCH(LEFT($C$9,1),$M$45:$T$45,0)),N$46-1=(MATCH(LEFT($C$9,1),$M$45:$T$45,0))))+(MATCH(LEFT($C$9,1),$M$45:$T$45,0)=N$46)*(OR($L38+1=VALUE(RIGHT($C$9,1)),$L38-1=VALUE(RIGHT($C$9,1))))&gt;=1,TRUE,FALSE)</f>
        <v>0</v>
      </c>
      <c r="O38" s="17" t="b">
        <f>IF((E16=$C$9)+(VALUE(RIGHT($C$9,1))=$L38)*(OR(O$46+1=(MATCH(LEFT($C$9,1),$M$45:$T$45,0)),O$46-1=(MATCH(LEFT($C$9,1),$M$45:$T$45,0))))+(MATCH(LEFT($C$9,1),$M$45:$T$45,0)=O$46)*(OR($L38+1=VALUE(RIGHT($C$9,1)),$L38-1=VALUE(RIGHT($C$9,1))))&gt;=1,TRUE,FALSE)</f>
        <v>0</v>
      </c>
      <c r="P38" s="17" t="b">
        <f>IF((F16=$C$9)+(VALUE(RIGHT($C$9,1))=$L38)*(OR(P$46+1=(MATCH(LEFT($C$9,1),$M$45:$T$45,0)),P$46-1=(MATCH(LEFT($C$9,1),$M$45:$T$45,0))))+(MATCH(LEFT($C$9,1),$M$45:$T$45,0)=P$46)*(OR($L38+1=VALUE(RIGHT($C$9,1)),$L38-1=VALUE(RIGHT($C$9,1))))&gt;=1,TRUE,FALSE)</f>
        <v>0</v>
      </c>
      <c r="Q38" s="17" t="b">
        <f>IF((G16=$C$9)+(VALUE(RIGHT($C$9,1))=$L38)*(OR(Q$46+1=(MATCH(LEFT($C$9,1),$M$45:$T$45,0)),Q$46-1=(MATCH(LEFT($C$9,1),$M$45:$T$45,0))))+(MATCH(LEFT($C$9,1),$M$45:$T$45,0)=Q$46)*(OR($L38+1=VALUE(RIGHT($C$9,1)),$L38-1=VALUE(RIGHT($C$9,1))))&gt;=1,TRUE,FALSE)</f>
        <v>0</v>
      </c>
      <c r="R38" s="17" t="b">
        <f>IF((H16=$C$9)+(VALUE(RIGHT($C$9,1))=$L38)*(OR(R$46+1=(MATCH(LEFT($C$9,1),$M$45:$T$45,0)),R$46-1=(MATCH(LEFT($C$9,1),$M$45:$T$45,0))))+(MATCH(LEFT($C$9,1),$M$45:$T$45,0)=R$46)*(OR($L38+1=VALUE(RIGHT($C$9,1)),$L38-1=VALUE(RIGHT($C$9,1))))&gt;=1,TRUE,FALSE)</f>
        <v>0</v>
      </c>
      <c r="S38" s="17" t="b">
        <f>IF((I16=$C$9)+(VALUE(RIGHT($C$9,1))=$L38)*(OR(S$46+1=(MATCH(LEFT($C$9,1),$M$45:$T$45,0)),S$46-1=(MATCH(LEFT($C$9,1),$M$45:$T$45,0))))+(MATCH(LEFT($C$9,1),$M$45:$T$45,0)=S$46)*(OR($L38+1=VALUE(RIGHT($C$9,1)),$L38-1=VALUE(RIGHT($C$9,1))))&gt;=1,TRUE,FALSE)</f>
        <v>0</v>
      </c>
      <c r="T38" s="25" t="b">
        <f>IF((J16=$C$9)+(VALUE(RIGHT($C$9,1))=$L38)*(OR(T$46+1=(MATCH(LEFT($C$9,1),$M$45:$T$45,0)),T$46-1=(MATCH(LEFT($C$9,1),$M$45:$T$45,0))))+(MATCH(LEFT($C$9,1),$M$45:$T$45,0)=T$46)*(OR($L38+1=VALUE(RIGHT($C$9,1)),$L38-1=VALUE(RIGHT($C$9,1))))&gt;=1,TRUE,FALSE)</f>
        <v>0</v>
      </c>
    </row>
    <row r="39" spans="2:20" ht="14.65" thickBot="1" x14ac:dyDescent="0.5">
      <c r="B39">
        <v>6</v>
      </c>
      <c r="C39" s="17" t="b">
        <f>IF((C17=$C$9)+((ABS(MATCH(LEFT($C$9,1),$C$45:$J$45,0)-C$46))=(ABS(VALUE(RIGHT($C$9,1))-$B39)))&gt;=1,TRUE,FALSE)</f>
        <v>0</v>
      </c>
      <c r="D39" s="17" t="b">
        <f>IF((D17=$C$9)+((ABS(MATCH(LEFT($C$9,1),$C$45:$J$45,0)-D$46))=(ABS(VALUE(RIGHT($C$9,1))-$B39)))&gt;=1,TRUE,FALSE)</f>
        <v>1</v>
      </c>
      <c r="E39" s="17" t="b">
        <f>IF((E17=$C$9)+((ABS(MATCH(LEFT($C$9,1),$C$45:$J$45,0)-E$46))=(ABS(VALUE(RIGHT($C$9,1))-$B39)))&gt;=1,TRUE,FALSE)</f>
        <v>0</v>
      </c>
      <c r="F39" s="17" t="b">
        <f>IF((F17=$C$9)+((ABS(MATCH(LEFT($C$9,1),$C$45:$J$45,0)-F$46))=(ABS(VALUE(RIGHT($C$9,1))-$B39)))&gt;=1,TRUE,FALSE)</f>
        <v>0</v>
      </c>
      <c r="G39" s="17" t="b">
        <f>IF((G17=$C$9)+((ABS(MATCH(LEFT($C$9,1),$C$45:$J$45,0)-G$46))=(ABS(VALUE(RIGHT($C$9,1))-$B39)))&gt;=1,TRUE,FALSE)</f>
        <v>0</v>
      </c>
      <c r="H39" s="17" t="b">
        <f>IF((H17=$C$9)+((ABS(MATCH(LEFT($C$9,1),$C$45:$J$45,0)-H$46))=(ABS(VALUE(RIGHT($C$9,1))-$B39)))&gt;=1,TRUE,FALSE)</f>
        <v>0</v>
      </c>
      <c r="I39" s="17" t="b">
        <f>IF((I17=$C$9)+((ABS(MATCH(LEFT($C$9,1),$C$45:$J$45,0)-I$46))=(ABS(VALUE(RIGHT($C$9,1))-$B39)))&gt;=1,TRUE,FALSE)</f>
        <v>0</v>
      </c>
      <c r="J39" s="25" t="b">
        <f>IF((J17=$C$9)+((ABS(MATCH(LEFT($C$9,1),$C$45:$J$45,0)-J$46))=(ABS(VALUE(RIGHT($C$9,1))-$B39)))&gt;=1,TRUE,FALSE)</f>
        <v>1</v>
      </c>
      <c r="L39">
        <v>6</v>
      </c>
      <c r="M39" s="17" t="b">
        <f>IF((C17=$C$9)+(VALUE(RIGHT($C$9,1))=$L39)*(OR(M$46+1=(MATCH(LEFT($C$9,1),$M$45:$T$45,0)),M$46-1=(MATCH(LEFT($C$9,1),$M$45:$T$45,0))))+(MATCH(LEFT($C$9,1),$M$45:$T$45,0)=M$46)*(OR($L39+1=VALUE(RIGHT($C$9,1)),$L39-1=VALUE(RIGHT($C$9,1))))&gt;=1,TRUE,FALSE)</f>
        <v>0</v>
      </c>
      <c r="N39" s="17" t="b">
        <f>IF((D17=$C$9)+(VALUE(RIGHT($C$9,1))=$L39)*(OR(N$46+1=(MATCH(LEFT($C$9,1),$M$45:$T$45,0)),N$46-1=(MATCH(LEFT($C$9,1),$M$45:$T$45,0))))+(MATCH(LEFT($C$9,1),$M$45:$T$45,0)=N$46)*(OR($L39+1=VALUE(RIGHT($C$9,1)),$L39-1=VALUE(RIGHT($C$9,1))))&gt;=1,TRUE,FALSE)</f>
        <v>0</v>
      </c>
      <c r="O39" s="17" t="b">
        <f>IF((E17=$C$9)+(VALUE(RIGHT($C$9,1))=$L39)*(OR(O$46+1=(MATCH(LEFT($C$9,1),$M$45:$T$45,0)),O$46-1=(MATCH(LEFT($C$9,1),$M$45:$T$45,0))))+(MATCH(LEFT($C$9,1),$M$45:$T$45,0)=O$46)*(OR($L39+1=VALUE(RIGHT($C$9,1)),$L39-1=VALUE(RIGHT($C$9,1))))&gt;=1,TRUE,FALSE)</f>
        <v>0</v>
      </c>
      <c r="P39" s="17" t="b">
        <f>IF((F17=$C$9)+(VALUE(RIGHT($C$9,1))=$L39)*(OR(P$46+1=(MATCH(LEFT($C$9,1),$M$45:$T$45,0)),P$46-1=(MATCH(LEFT($C$9,1),$M$45:$T$45,0))))+(MATCH(LEFT($C$9,1),$M$45:$T$45,0)=P$46)*(OR($L39+1=VALUE(RIGHT($C$9,1)),$L39-1=VALUE(RIGHT($C$9,1))))&gt;=1,TRUE,FALSE)</f>
        <v>0</v>
      </c>
      <c r="Q39" s="17" t="b">
        <f>IF((G17=$C$9)+(VALUE(RIGHT($C$9,1))=$L39)*(OR(Q$46+1=(MATCH(LEFT($C$9,1),$M$45:$T$45,0)),Q$46-1=(MATCH(LEFT($C$9,1),$M$45:$T$45,0))))+(MATCH(LEFT($C$9,1),$M$45:$T$45,0)=Q$46)*(OR($L39+1=VALUE(RIGHT($C$9,1)),$L39-1=VALUE(RIGHT($C$9,1))))&gt;=1,TRUE,FALSE)</f>
        <v>0</v>
      </c>
      <c r="R39" s="17" t="b">
        <f>IF((H17=$C$9)+(VALUE(RIGHT($C$9,1))=$L39)*(OR(R$46+1=(MATCH(LEFT($C$9,1),$M$45:$T$45,0)),R$46-1=(MATCH(LEFT($C$9,1),$M$45:$T$45,0))))+(MATCH(LEFT($C$9,1),$M$45:$T$45,0)=R$46)*(OR($L39+1=VALUE(RIGHT($C$9,1)),$L39-1=VALUE(RIGHT($C$9,1))))&gt;=1,TRUE,FALSE)</f>
        <v>0</v>
      </c>
      <c r="S39" s="17" t="b">
        <f>IF((I17=$C$9)+(VALUE(RIGHT($C$9,1))=$L39)*(OR(S$46+1=(MATCH(LEFT($C$9,1),$M$45:$T$45,0)),S$46-1=(MATCH(LEFT($C$9,1),$M$45:$T$45,0))))+(MATCH(LEFT($C$9,1),$M$45:$T$45,0)=S$46)*(OR($L39+1=VALUE(RIGHT($C$9,1)),$L39-1=VALUE(RIGHT($C$9,1))))&gt;=1,TRUE,FALSE)</f>
        <v>0</v>
      </c>
      <c r="T39" s="25" t="b">
        <f>IF((J17=$C$9)+(VALUE(RIGHT($C$9,1))=$L39)*(OR(T$46+1=(MATCH(LEFT($C$9,1),$M$45:$T$45,0)),T$46-1=(MATCH(LEFT($C$9,1),$M$45:$T$45,0))))+(MATCH(LEFT($C$9,1),$M$45:$T$45,0)=T$46)*(OR($L39+1=VALUE(RIGHT($C$9,1)),$L39-1=VALUE(RIGHT($C$9,1))))&gt;=1,TRUE,FALSE)</f>
        <v>0</v>
      </c>
    </row>
    <row r="40" spans="2:20" ht="14.65" thickBot="1" x14ac:dyDescent="0.5">
      <c r="B40">
        <v>5</v>
      </c>
      <c r="C40" s="17" t="b">
        <f>IF((C18=$C$9)+((ABS(MATCH(LEFT($C$9,1),$C$45:$J$45,0)-C$46))=(ABS(VALUE(RIGHT($C$9,1))-$B40)))&gt;=1,TRUE,FALSE)</f>
        <v>0</v>
      </c>
      <c r="D40" s="17" t="b">
        <f>IF((D18=$C$9)+((ABS(MATCH(LEFT($C$9,1),$C$45:$J$45,0)-D$46))=(ABS(VALUE(RIGHT($C$9,1))-$B40)))&gt;=1,TRUE,FALSE)</f>
        <v>0</v>
      </c>
      <c r="E40" s="17" t="b">
        <f>IF((E18=$C$9)+((ABS(MATCH(LEFT($C$9,1),$C$45:$J$45,0)-E$46))=(ABS(VALUE(RIGHT($C$9,1))-$B40)))&gt;=1,TRUE,FALSE)</f>
        <v>1</v>
      </c>
      <c r="F40" s="17" t="b">
        <f>IF((F18=$C$9)+((ABS(MATCH(LEFT($C$9,1),$C$45:$J$45,0)-F$46))=(ABS(VALUE(RIGHT($C$9,1))-$B40)))&gt;=1,TRUE,FALSE)</f>
        <v>0</v>
      </c>
      <c r="G40" s="17" t="b">
        <f>IF((G18=$C$9)+((ABS(MATCH(LEFT($C$9,1),$C$45:$J$45,0)-G$46))=(ABS(VALUE(RIGHT($C$9,1))-$B40)))&gt;=1,TRUE,FALSE)</f>
        <v>0</v>
      </c>
      <c r="H40" s="17" t="b">
        <f>IF((H18=$C$9)+((ABS(MATCH(LEFT($C$9,1),$C$45:$J$45,0)-H$46))=(ABS(VALUE(RIGHT($C$9,1))-$B40)))&gt;=1,TRUE,FALSE)</f>
        <v>0</v>
      </c>
      <c r="I40" s="17" t="b">
        <f>IF((I18=$C$9)+((ABS(MATCH(LEFT($C$9,1),$C$45:$J$45,0)-I$46))=(ABS(VALUE(RIGHT($C$9,1))-$B40)))&gt;=1,TRUE,FALSE)</f>
        <v>1</v>
      </c>
      <c r="J40" s="25" t="b">
        <f>IF((J18=$C$9)+((ABS(MATCH(LEFT($C$9,1),$C$45:$J$45,0)-J$46))=(ABS(VALUE(RIGHT($C$9,1))-$B40)))&gt;=1,TRUE,FALSE)</f>
        <v>0</v>
      </c>
      <c r="L40">
        <v>5</v>
      </c>
      <c r="M40" s="17" t="b">
        <f>IF((C18=$C$9)+(VALUE(RIGHT($C$9,1))=$L40)*(OR(M$46+1=(MATCH(LEFT($C$9,1),$M$45:$T$45,0)),M$46-1=(MATCH(LEFT($C$9,1),$M$45:$T$45,0))))+(MATCH(LEFT($C$9,1),$M$45:$T$45,0)=M$46)*(OR($L40+1=VALUE(RIGHT($C$9,1)),$L40-1=VALUE(RIGHT($C$9,1))))&gt;=1,TRUE,FALSE)</f>
        <v>0</v>
      </c>
      <c r="N40" s="17" t="b">
        <f>IF((D18=$C$9)+(VALUE(RIGHT($C$9,1))=$L40)*(OR(N$46+1=(MATCH(LEFT($C$9,1),$M$45:$T$45,0)),N$46-1=(MATCH(LEFT($C$9,1),$M$45:$T$45,0))))+(MATCH(LEFT($C$9,1),$M$45:$T$45,0)=N$46)*(OR($L40+1=VALUE(RIGHT($C$9,1)),$L40-1=VALUE(RIGHT($C$9,1))))&gt;=1,TRUE,FALSE)</f>
        <v>0</v>
      </c>
      <c r="O40" s="17" t="b">
        <f>IF((E18=$C$9)+(VALUE(RIGHT($C$9,1))=$L40)*(OR(O$46+1=(MATCH(LEFT($C$9,1),$M$45:$T$45,0)),O$46-1=(MATCH(LEFT($C$9,1),$M$45:$T$45,0))))+(MATCH(LEFT($C$9,1),$M$45:$T$45,0)=O$46)*(OR($L40+1=VALUE(RIGHT($C$9,1)),$L40-1=VALUE(RIGHT($C$9,1))))&gt;=1,TRUE,FALSE)</f>
        <v>0</v>
      </c>
      <c r="P40" s="17" t="b">
        <f>IF((F18=$C$9)+(VALUE(RIGHT($C$9,1))=$L40)*(OR(P$46+1=(MATCH(LEFT($C$9,1),$M$45:$T$45,0)),P$46-1=(MATCH(LEFT($C$9,1),$M$45:$T$45,0))))+(MATCH(LEFT($C$9,1),$M$45:$T$45,0)=P$46)*(OR($L40+1=VALUE(RIGHT($C$9,1)),$L40-1=VALUE(RIGHT($C$9,1))))&gt;=1,TRUE,FALSE)</f>
        <v>0</v>
      </c>
      <c r="Q40" s="17" t="b">
        <f>IF((G18=$C$9)+(VALUE(RIGHT($C$9,1))=$L40)*(OR(Q$46+1=(MATCH(LEFT($C$9,1),$M$45:$T$45,0)),Q$46-1=(MATCH(LEFT($C$9,1),$M$45:$T$45,0))))+(MATCH(LEFT($C$9,1),$M$45:$T$45,0)=Q$46)*(OR($L40+1=VALUE(RIGHT($C$9,1)),$L40-1=VALUE(RIGHT($C$9,1))))&gt;=1,TRUE,FALSE)</f>
        <v>0</v>
      </c>
      <c r="R40" s="17" t="b">
        <f>IF((H18=$C$9)+(VALUE(RIGHT($C$9,1))=$L40)*(OR(R$46+1=(MATCH(LEFT($C$9,1),$M$45:$T$45,0)),R$46-1=(MATCH(LEFT($C$9,1),$M$45:$T$45,0))))+(MATCH(LEFT($C$9,1),$M$45:$T$45,0)=R$46)*(OR($L40+1=VALUE(RIGHT($C$9,1)),$L40-1=VALUE(RIGHT($C$9,1))))&gt;=1,TRUE,FALSE)</f>
        <v>0</v>
      </c>
      <c r="S40" s="17" t="b">
        <f>IF((I18=$C$9)+(VALUE(RIGHT($C$9,1))=$L40)*(OR(S$46+1=(MATCH(LEFT($C$9,1),$M$45:$T$45,0)),S$46-1=(MATCH(LEFT($C$9,1),$M$45:$T$45,0))))+(MATCH(LEFT($C$9,1),$M$45:$T$45,0)=S$46)*(OR($L40+1=VALUE(RIGHT($C$9,1)),$L40-1=VALUE(RIGHT($C$9,1))))&gt;=1,TRUE,FALSE)</f>
        <v>0</v>
      </c>
      <c r="T40" s="25" t="b">
        <f>IF((J18=$C$9)+(VALUE(RIGHT($C$9,1))=$L40)*(OR(T$46+1=(MATCH(LEFT($C$9,1),$M$45:$T$45,0)),T$46-1=(MATCH(LEFT($C$9,1),$M$45:$T$45,0))))+(MATCH(LEFT($C$9,1),$M$45:$T$45,0)=T$46)*(OR($L40+1=VALUE(RIGHT($C$9,1)),$L40-1=VALUE(RIGHT($C$9,1))))&gt;=1,TRUE,FALSE)</f>
        <v>0</v>
      </c>
    </row>
    <row r="41" spans="2:20" ht="14.65" thickBot="1" x14ac:dyDescent="0.5">
      <c r="B41">
        <v>4</v>
      </c>
      <c r="C41" s="17" t="b">
        <f>IF((C19=$C$9)+((ABS(MATCH(LEFT($C$9,1),$C$45:$J$45,0)-C$46))=(ABS(VALUE(RIGHT($C$9,1))-$B41)))&gt;=1,TRUE,FALSE)</f>
        <v>0</v>
      </c>
      <c r="D41" s="17" t="b">
        <f>IF((D19=$C$9)+((ABS(MATCH(LEFT($C$9,1),$C$45:$J$45,0)-D$46))=(ABS(VALUE(RIGHT($C$9,1))-$B41)))&gt;=1,TRUE,FALSE)</f>
        <v>0</v>
      </c>
      <c r="E41" s="17" t="b">
        <f>IF((E19=$C$9)+((ABS(MATCH(LEFT($C$9,1),$C$45:$J$45,0)-E$46))=(ABS(VALUE(RIGHT($C$9,1))-$B41)))&gt;=1,TRUE,FALSE)</f>
        <v>0</v>
      </c>
      <c r="F41" s="17" t="b">
        <f>IF((F19=$C$9)+((ABS(MATCH(LEFT($C$9,1),$C$45:$J$45,0)-F$46))=(ABS(VALUE(RIGHT($C$9,1))-$B41)))&gt;=1,TRUE,FALSE)</f>
        <v>1</v>
      </c>
      <c r="G41" s="17" t="b">
        <f>IF((G19=$C$9)+((ABS(MATCH(LEFT($C$9,1),$C$45:$J$45,0)-G$46))=(ABS(VALUE(RIGHT($C$9,1))-$B41)))&gt;=1,TRUE,FALSE)</f>
        <v>0</v>
      </c>
      <c r="H41" s="17" t="b">
        <f>IF((H19=$C$9)+((ABS(MATCH(LEFT($C$9,1),$C$45:$J$45,0)-H$46))=(ABS(VALUE(RIGHT($C$9,1))-$B41)))&gt;=1,TRUE,FALSE)</f>
        <v>1</v>
      </c>
      <c r="I41" s="17" t="b">
        <f>IF((I19=$C$9)+((ABS(MATCH(LEFT($C$9,1),$C$45:$J$45,0)-I$46))=(ABS(VALUE(RIGHT($C$9,1))-$B41)))&gt;=1,TRUE,FALSE)</f>
        <v>0</v>
      </c>
      <c r="J41" s="25" t="b">
        <f>IF((J19=$C$9)+((ABS(MATCH(LEFT($C$9,1),$C$45:$J$45,0)-J$46))=(ABS(VALUE(RIGHT($C$9,1))-$B41)))&gt;=1,TRUE,FALSE)</f>
        <v>0</v>
      </c>
      <c r="L41">
        <v>4</v>
      </c>
      <c r="M41" s="17" t="b">
        <f>IF((C19=$C$9)+(VALUE(RIGHT($C$9,1))=$L41)*(OR(M$46+1=(MATCH(LEFT($C$9,1),$M$45:$T$45,0)),M$46-1=(MATCH(LEFT($C$9,1),$M$45:$T$45,0))))+(MATCH(LEFT($C$9,1),$M$45:$T$45,0)=M$46)*(OR($L41+1=VALUE(RIGHT($C$9,1)),$L41-1=VALUE(RIGHT($C$9,1))))&gt;=1,TRUE,FALSE)</f>
        <v>0</v>
      </c>
      <c r="N41" s="17" t="b">
        <f>IF((D19=$C$9)+(VALUE(RIGHT($C$9,1))=$L41)*(OR(N$46+1=(MATCH(LEFT($C$9,1),$M$45:$T$45,0)),N$46-1=(MATCH(LEFT($C$9,1),$M$45:$T$45,0))))+(MATCH(LEFT($C$9,1),$M$45:$T$45,0)=N$46)*(OR($L41+1=VALUE(RIGHT($C$9,1)),$L41-1=VALUE(RIGHT($C$9,1))))&gt;=1,TRUE,FALSE)</f>
        <v>0</v>
      </c>
      <c r="O41" s="17" t="b">
        <f>IF((E19=$C$9)+(VALUE(RIGHT($C$9,1))=$L41)*(OR(O$46+1=(MATCH(LEFT($C$9,1),$M$45:$T$45,0)),O$46-1=(MATCH(LEFT($C$9,1),$M$45:$T$45,0))))+(MATCH(LEFT($C$9,1),$M$45:$T$45,0)=O$46)*(OR($L41+1=VALUE(RIGHT($C$9,1)),$L41-1=VALUE(RIGHT($C$9,1))))&gt;=1,TRUE,FALSE)</f>
        <v>0</v>
      </c>
      <c r="P41" s="17" t="b">
        <f>IF((F19=$C$9)+(VALUE(RIGHT($C$9,1))=$L41)*(OR(P$46+1=(MATCH(LEFT($C$9,1),$M$45:$T$45,0)),P$46-1=(MATCH(LEFT($C$9,1),$M$45:$T$45,0))))+(MATCH(LEFT($C$9,1),$M$45:$T$45,0)=P$46)*(OR($L41+1=VALUE(RIGHT($C$9,1)),$L41-1=VALUE(RIGHT($C$9,1))))&gt;=1,TRUE,FALSE)</f>
        <v>0</v>
      </c>
      <c r="Q41" s="17" t="b">
        <f>IF((G19=$C$9)+(VALUE(RIGHT($C$9,1))=$L41)*(OR(Q$46+1=(MATCH(LEFT($C$9,1),$M$45:$T$45,0)),Q$46-1=(MATCH(LEFT($C$9,1),$M$45:$T$45,0))))+(MATCH(LEFT($C$9,1),$M$45:$T$45,0)=Q$46)*(OR($L41+1=VALUE(RIGHT($C$9,1)),$L41-1=VALUE(RIGHT($C$9,1))))&gt;=1,TRUE,FALSE)</f>
        <v>1</v>
      </c>
      <c r="R41" s="17" t="b">
        <f>IF((H19=$C$9)+(VALUE(RIGHT($C$9,1))=$L41)*(OR(R$46+1=(MATCH(LEFT($C$9,1),$M$45:$T$45,0)),R$46-1=(MATCH(LEFT($C$9,1),$M$45:$T$45,0))))+(MATCH(LEFT($C$9,1),$M$45:$T$45,0)=R$46)*(OR($L41+1=VALUE(RIGHT($C$9,1)),$L41-1=VALUE(RIGHT($C$9,1))))&gt;=1,TRUE,FALSE)</f>
        <v>0</v>
      </c>
      <c r="S41" s="17" t="b">
        <f>IF((I19=$C$9)+(VALUE(RIGHT($C$9,1))=$L41)*(OR(S$46+1=(MATCH(LEFT($C$9,1),$M$45:$T$45,0)),S$46-1=(MATCH(LEFT($C$9,1),$M$45:$T$45,0))))+(MATCH(LEFT($C$9,1),$M$45:$T$45,0)=S$46)*(OR($L41+1=VALUE(RIGHT($C$9,1)),$L41-1=VALUE(RIGHT($C$9,1))))&gt;=1,TRUE,FALSE)</f>
        <v>0</v>
      </c>
      <c r="T41" s="25" t="b">
        <f>IF((J19=$C$9)+(VALUE(RIGHT($C$9,1))=$L41)*(OR(T$46+1=(MATCH(LEFT($C$9,1),$M$45:$T$45,0)),T$46-1=(MATCH(LEFT($C$9,1),$M$45:$T$45,0))))+(MATCH(LEFT($C$9,1),$M$45:$T$45,0)=T$46)*(OR($L41+1=VALUE(RIGHT($C$9,1)),$L41-1=VALUE(RIGHT($C$9,1))))&gt;=1,TRUE,FALSE)</f>
        <v>0</v>
      </c>
    </row>
    <row r="42" spans="2:20" ht="14.65" thickBot="1" x14ac:dyDescent="0.5">
      <c r="B42">
        <v>3</v>
      </c>
      <c r="C42" s="17" t="b">
        <f>IF((C20=$C$9)+((ABS(MATCH(LEFT($C$9,1),$C$45:$J$45,0)-C$46))=(ABS(VALUE(RIGHT($C$9,1))-$B42)))&gt;=1,TRUE,FALSE)</f>
        <v>0</v>
      </c>
      <c r="D42" s="17" t="b">
        <f>IF((D20=$C$9)+((ABS(MATCH(LEFT($C$9,1),$C$45:$J$45,0)-D$46))=(ABS(VALUE(RIGHT($C$9,1))-$B42)))&gt;=1,TRUE,FALSE)</f>
        <v>0</v>
      </c>
      <c r="E42" s="17" t="b">
        <f>IF((E20=$C$9)+((ABS(MATCH(LEFT($C$9,1),$C$45:$J$45,0)-E$46))=(ABS(VALUE(RIGHT($C$9,1))-$B42)))&gt;=1,TRUE,FALSE)</f>
        <v>0</v>
      </c>
      <c r="F42" s="17" t="b">
        <f>IF((F20=$C$9)+((ABS(MATCH(LEFT($C$9,1),$C$45:$J$45,0)-F$46))=(ABS(VALUE(RIGHT($C$9,1))-$B42)))&gt;=1,TRUE,FALSE)</f>
        <v>0</v>
      </c>
      <c r="G42" s="17" t="b">
        <f>IF((G20=$C$9)+((ABS(MATCH(LEFT($C$9,1),$C$45:$J$45,0)-G$46))=(ABS(VALUE(RIGHT($C$9,1))-$B42)))&gt;=1,TRUE,FALSE)</f>
        <v>1</v>
      </c>
      <c r="H42" s="17" t="b">
        <f>IF((H20=$C$9)+((ABS(MATCH(LEFT($C$9,1),$C$45:$J$45,0)-H$46))=(ABS(VALUE(RIGHT($C$9,1))-$B42)))&gt;=1,TRUE,FALSE)</f>
        <v>0</v>
      </c>
      <c r="I42" s="17" t="b">
        <f>IF((I20=$C$9)+((ABS(MATCH(LEFT($C$9,1),$C$45:$J$45,0)-I$46))=(ABS(VALUE(RIGHT($C$9,1))-$B42)))&gt;=1,TRUE,FALSE)</f>
        <v>0</v>
      </c>
      <c r="J42" s="25" t="b">
        <f>IF((J20=$C$9)+((ABS(MATCH(LEFT($C$9,1),$C$45:$J$45,0)-J$46))=(ABS(VALUE(RIGHT($C$9,1))-$B42)))&gt;=1,TRUE,FALSE)</f>
        <v>0</v>
      </c>
      <c r="L42">
        <v>3</v>
      </c>
      <c r="M42" s="17" t="b">
        <f>IF((C20=$C$9)+(VALUE(RIGHT($C$9,1))=$L42)*(OR(M$46+1=(MATCH(LEFT($C$9,1),$M$45:$T$45,0)),M$46-1=(MATCH(LEFT($C$9,1),$M$45:$T$45,0))))+(MATCH(LEFT($C$9,1),$M$45:$T$45,0)=M$46)*(OR($L42+1=VALUE(RIGHT($C$9,1)),$L42-1=VALUE(RIGHT($C$9,1))))&gt;=1,TRUE,FALSE)</f>
        <v>0</v>
      </c>
      <c r="N42" s="17" t="b">
        <f>IF((D20=$C$9)+(VALUE(RIGHT($C$9,1))=$L42)*(OR(N$46+1=(MATCH(LEFT($C$9,1),$M$45:$T$45,0)),N$46-1=(MATCH(LEFT($C$9,1),$M$45:$T$45,0))))+(MATCH(LEFT($C$9,1),$M$45:$T$45,0)=N$46)*(OR($L42+1=VALUE(RIGHT($C$9,1)),$L42-1=VALUE(RIGHT($C$9,1))))&gt;=1,TRUE,FALSE)</f>
        <v>0</v>
      </c>
      <c r="O42" s="17" t="b">
        <f>IF((E20=$C$9)+(VALUE(RIGHT($C$9,1))=$L42)*(OR(O$46+1=(MATCH(LEFT($C$9,1),$M$45:$T$45,0)),O$46-1=(MATCH(LEFT($C$9,1),$M$45:$T$45,0))))+(MATCH(LEFT($C$9,1),$M$45:$T$45,0)=O$46)*(OR($L42+1=VALUE(RIGHT($C$9,1)),$L42-1=VALUE(RIGHT($C$9,1))))&gt;=1,TRUE,FALSE)</f>
        <v>0</v>
      </c>
      <c r="P42" s="17" t="b">
        <f>IF((F20=$C$9)+(VALUE(RIGHT($C$9,1))=$L42)*(OR(P$46+1=(MATCH(LEFT($C$9,1),$M$45:$T$45,0)),P$46-1=(MATCH(LEFT($C$9,1),$M$45:$T$45,0))))+(MATCH(LEFT($C$9,1),$M$45:$T$45,0)=P$46)*(OR($L42+1=VALUE(RIGHT($C$9,1)),$L42-1=VALUE(RIGHT($C$9,1))))&gt;=1,TRUE,FALSE)</f>
        <v>1</v>
      </c>
      <c r="Q42" s="17" t="b">
        <f>IF((G20=$C$9)+(VALUE(RIGHT($C$9,1))=$L42)*(OR(Q$46+1=(MATCH(LEFT($C$9,1),$M$45:$T$45,0)),Q$46-1=(MATCH(LEFT($C$9,1),$M$45:$T$45,0))))+(MATCH(LEFT($C$9,1),$M$45:$T$45,0)=Q$46)*(OR($L42+1=VALUE(RIGHT($C$9,1)),$L42-1=VALUE(RIGHT($C$9,1))))&gt;=1,TRUE,FALSE)</f>
        <v>1</v>
      </c>
      <c r="R42" s="17" t="b">
        <f>IF((H20=$C$9)+(VALUE(RIGHT($C$9,1))=$L42)*(OR(R$46+1=(MATCH(LEFT($C$9,1),$M$45:$T$45,0)),R$46-1=(MATCH(LEFT($C$9,1),$M$45:$T$45,0))))+(MATCH(LEFT($C$9,1),$M$45:$T$45,0)=R$46)*(OR($L42+1=VALUE(RIGHT($C$9,1)),$L42-1=VALUE(RIGHT($C$9,1))))&gt;=1,TRUE,FALSE)</f>
        <v>1</v>
      </c>
      <c r="S42" s="17" t="b">
        <f>IF((I20=$C$9)+(VALUE(RIGHT($C$9,1))=$L42)*(OR(S$46+1=(MATCH(LEFT($C$9,1),$M$45:$T$45,0)),S$46-1=(MATCH(LEFT($C$9,1),$M$45:$T$45,0))))+(MATCH(LEFT($C$9,1),$M$45:$T$45,0)=S$46)*(OR($L42+1=VALUE(RIGHT($C$9,1)),$L42-1=VALUE(RIGHT($C$9,1))))&gt;=1,TRUE,FALSE)</f>
        <v>0</v>
      </c>
      <c r="T42" s="25" t="b">
        <f>IF((J20=$C$9)+(VALUE(RIGHT($C$9,1))=$L42)*(OR(T$46+1=(MATCH(LEFT($C$9,1),$M$45:$T$45,0)),T$46-1=(MATCH(LEFT($C$9,1),$M$45:$T$45,0))))+(MATCH(LEFT($C$9,1),$M$45:$T$45,0)=T$46)*(OR($L42+1=VALUE(RIGHT($C$9,1)),$L42-1=VALUE(RIGHT($C$9,1))))&gt;=1,TRUE,FALSE)</f>
        <v>0</v>
      </c>
    </row>
    <row r="43" spans="2:20" ht="14.65" thickBot="1" x14ac:dyDescent="0.5">
      <c r="B43">
        <v>2</v>
      </c>
      <c r="C43" s="17" t="b">
        <f>IF((C21=$C$9)+((ABS(MATCH(LEFT($C$9,1),$C$45:$J$45,0)-C$46))=(ABS(VALUE(RIGHT($C$9,1))-$B43)))&gt;=1,TRUE,FALSE)</f>
        <v>0</v>
      </c>
      <c r="D43" s="17" t="b">
        <f>IF((D21=$C$9)+((ABS(MATCH(LEFT($C$9,1),$C$45:$J$45,0)-D$46))=(ABS(VALUE(RIGHT($C$9,1))-$B43)))&gt;=1,TRUE,FALSE)</f>
        <v>0</v>
      </c>
      <c r="E43" s="17" t="b">
        <f>IF((E21=$C$9)+((ABS(MATCH(LEFT($C$9,1),$C$45:$J$45,0)-E$46))=(ABS(VALUE(RIGHT($C$9,1))-$B43)))&gt;=1,TRUE,FALSE)</f>
        <v>0</v>
      </c>
      <c r="F43" s="17" t="b">
        <f>IF((F21=$C$9)+((ABS(MATCH(LEFT($C$9,1),$C$45:$J$45,0)-F$46))=(ABS(VALUE(RIGHT($C$9,1))-$B43)))&gt;=1,TRUE,FALSE)</f>
        <v>1</v>
      </c>
      <c r="G43" s="17" t="b">
        <f>IF((G21=$C$9)+((ABS(MATCH(LEFT($C$9,1),$C$45:$J$45,0)-G$46))=(ABS(VALUE(RIGHT($C$9,1))-$B43)))&gt;=1,TRUE,FALSE)</f>
        <v>0</v>
      </c>
      <c r="H43" s="17" t="b">
        <f>IF((H21=$C$9)+((ABS(MATCH(LEFT($C$9,1),$C$45:$J$45,0)-H$46))=(ABS(VALUE(RIGHT($C$9,1))-$B43)))&gt;=1,TRUE,FALSE)</f>
        <v>1</v>
      </c>
      <c r="I43" s="17" t="b">
        <f>IF((I21=$C$9)+((ABS(MATCH(LEFT($C$9,1),$C$45:$J$45,0)-I$46))=(ABS(VALUE(RIGHT($C$9,1))-$B43)))&gt;=1,TRUE,FALSE)</f>
        <v>0</v>
      </c>
      <c r="J43" s="25" t="b">
        <f>IF((J21=$C$9)+((ABS(MATCH(LEFT($C$9,1),$C$45:$J$45,0)-J$46))=(ABS(VALUE(RIGHT($C$9,1))-$B43)))&gt;=1,TRUE,FALSE)</f>
        <v>0</v>
      </c>
      <c r="L43">
        <v>2</v>
      </c>
      <c r="M43" s="17" t="b">
        <f>IF((C21=$C$9)+(VALUE(RIGHT($C$9,1))=$L43)*(OR(M$46+1=(MATCH(LEFT($C$9,1),$M$45:$T$45,0)),M$46-1=(MATCH(LEFT($C$9,1),$M$45:$T$45,0))))+(MATCH(LEFT($C$9,1),$M$45:$T$45,0)=M$46)*(OR($L43+1=VALUE(RIGHT($C$9,1)),$L43-1=VALUE(RIGHT($C$9,1))))&gt;=1,TRUE,FALSE)</f>
        <v>0</v>
      </c>
      <c r="N43" s="17" t="b">
        <f>IF((D21=$C$9)+(VALUE(RIGHT($C$9,1))=$L43)*(OR(N$46+1=(MATCH(LEFT($C$9,1),$M$45:$T$45,0)),N$46-1=(MATCH(LEFT($C$9,1),$M$45:$T$45,0))))+(MATCH(LEFT($C$9,1),$M$45:$T$45,0)=N$46)*(OR($L43+1=VALUE(RIGHT($C$9,1)),$L43-1=VALUE(RIGHT($C$9,1))))&gt;=1,TRUE,FALSE)</f>
        <v>0</v>
      </c>
      <c r="O43" s="17" t="b">
        <f>IF((E21=$C$9)+(VALUE(RIGHT($C$9,1))=$L43)*(OR(O$46+1=(MATCH(LEFT($C$9,1),$M$45:$T$45,0)),O$46-1=(MATCH(LEFT($C$9,1),$M$45:$T$45,0))))+(MATCH(LEFT($C$9,1),$M$45:$T$45,0)=O$46)*(OR($L43+1=VALUE(RIGHT($C$9,1)),$L43-1=VALUE(RIGHT($C$9,1))))&gt;=1,TRUE,FALSE)</f>
        <v>0</v>
      </c>
      <c r="P43" s="17" t="b">
        <f>IF((F21=$C$9)+(VALUE(RIGHT($C$9,1))=$L43)*(OR(P$46+1=(MATCH(LEFT($C$9,1),$M$45:$T$45,0)),P$46-1=(MATCH(LEFT($C$9,1),$M$45:$T$45,0))))+(MATCH(LEFT($C$9,1),$M$45:$T$45,0)=P$46)*(OR($L43+1=VALUE(RIGHT($C$9,1)),$L43-1=VALUE(RIGHT($C$9,1))))&gt;=1,TRUE,FALSE)</f>
        <v>0</v>
      </c>
      <c r="Q43" s="17" t="b">
        <f>IF((G21=$C$9)+(VALUE(RIGHT($C$9,1))=$L43)*(OR(Q$46+1=(MATCH(LEFT($C$9,1),$M$45:$T$45,0)),Q$46-1=(MATCH(LEFT($C$9,1),$M$45:$T$45,0))))+(MATCH(LEFT($C$9,1),$M$45:$T$45,0)=Q$46)*(OR($L43+1=VALUE(RIGHT($C$9,1)),$L43-1=VALUE(RIGHT($C$9,1))))&gt;=1,TRUE,FALSE)</f>
        <v>1</v>
      </c>
      <c r="R43" s="17" t="b">
        <f>IF((H21=$C$9)+(VALUE(RIGHT($C$9,1))=$L43)*(OR(R$46+1=(MATCH(LEFT($C$9,1),$M$45:$T$45,0)),R$46-1=(MATCH(LEFT($C$9,1),$M$45:$T$45,0))))+(MATCH(LEFT($C$9,1),$M$45:$T$45,0)=R$46)*(OR($L43+1=VALUE(RIGHT($C$9,1)),$L43-1=VALUE(RIGHT($C$9,1))))&gt;=1,TRUE,FALSE)</f>
        <v>0</v>
      </c>
      <c r="S43" s="17" t="b">
        <f>IF((I21=$C$9)+(VALUE(RIGHT($C$9,1))=$L43)*(OR(S$46+1=(MATCH(LEFT($C$9,1),$M$45:$T$45,0)),S$46-1=(MATCH(LEFT($C$9,1),$M$45:$T$45,0))))+(MATCH(LEFT($C$9,1),$M$45:$T$45,0)=S$46)*(OR($L43+1=VALUE(RIGHT($C$9,1)),$L43-1=VALUE(RIGHT($C$9,1))))&gt;=1,TRUE,FALSE)</f>
        <v>0</v>
      </c>
      <c r="T43" s="25" t="b">
        <f>IF((J21=$C$9)+(VALUE(RIGHT($C$9,1))=$L43)*(OR(T$46+1=(MATCH(LEFT($C$9,1),$M$45:$T$45,0)),T$46-1=(MATCH(LEFT($C$9,1),$M$45:$T$45,0))))+(MATCH(LEFT($C$9,1),$M$45:$T$45,0)=T$46)*(OR($L43+1=VALUE(RIGHT($C$9,1)),$L43-1=VALUE(RIGHT($C$9,1))))&gt;=1,TRUE,FALSE)</f>
        <v>0</v>
      </c>
    </row>
    <row r="44" spans="2:20" ht="14.65" thickBot="1" x14ac:dyDescent="0.5">
      <c r="B44">
        <v>1</v>
      </c>
      <c r="C44" s="26" t="b">
        <f>IF((C22=$C$9)+((ABS(MATCH(LEFT($C$9,1),$C$45:$J$45,0)-C$46))=(ABS(VALUE(RIGHT($C$9,1))-$B44)))&gt;=1,TRUE,FALSE)</f>
        <v>0</v>
      </c>
      <c r="D44" s="26" t="b">
        <f>IF((D22=$C$9)+((ABS(MATCH(LEFT($C$9,1),$C$45:$J$45,0)-D$46))=(ABS(VALUE(RIGHT($C$9,1))-$B44)))&gt;=1,TRUE,FALSE)</f>
        <v>0</v>
      </c>
      <c r="E44" s="26" t="b">
        <f>IF((E22=$C$9)+((ABS(MATCH(LEFT($C$9,1),$C$45:$J$45,0)-E$46))=(ABS(VALUE(RIGHT($C$9,1))-$B44)))&gt;=1,TRUE,FALSE)</f>
        <v>1</v>
      </c>
      <c r="F44" s="26" t="b">
        <f>IF((F22=$C$9)+((ABS(MATCH(LEFT($C$9,1),$C$45:$J$45,0)-F$46))=(ABS(VALUE(RIGHT($C$9,1))-$B44)))&gt;=1,TRUE,FALSE)</f>
        <v>0</v>
      </c>
      <c r="G44" s="26" t="b">
        <f>IF((G22=$C$9)+((ABS(MATCH(LEFT($C$9,1),$C$45:$J$45,0)-G$46))=(ABS(VALUE(RIGHT($C$9,1))-$B44)))&gt;=1,TRUE,FALSE)</f>
        <v>0</v>
      </c>
      <c r="H44" s="26" t="b">
        <f>IF((H22=$C$9)+((ABS(MATCH(LEFT($C$9,1),$C$45:$J$45,0)-H$46))=(ABS(VALUE(RIGHT($C$9,1))-$B44)))&gt;=1,TRUE,FALSE)</f>
        <v>0</v>
      </c>
      <c r="I44" s="26" t="b">
        <f>IF((I22=$C$9)+((ABS(MATCH(LEFT($C$9,1),$C$45:$J$45,0)-I$46))=(ABS(VALUE(RIGHT($C$9,1))-$B44)))&gt;=1,TRUE,FALSE)</f>
        <v>1</v>
      </c>
      <c r="J44" s="27" t="b">
        <f>IF((J22=$C$9)+((ABS(MATCH(LEFT($C$9,1),$C$45:$J$45,0)-J$46))=(ABS(VALUE(RIGHT($C$9,1))-$B44)))&gt;=1,TRUE,FALSE)</f>
        <v>0</v>
      </c>
      <c r="L44">
        <v>1</v>
      </c>
      <c r="M44" s="26" t="b">
        <f>IF((C22=$C$9)+(VALUE(RIGHT($C$9,1))=$L44)*(OR(M$46+1=(MATCH(LEFT($C$9,1),$M$45:$T$45,0)),M$46-1=(MATCH(LEFT($C$9,1),$M$45:$T$45,0))))+(MATCH(LEFT($C$9,1),$M$45:$T$45,0)=M$46)*(OR($L44+1=VALUE(RIGHT($C$9,1)),$L44-1=VALUE(RIGHT($C$9,1))))&gt;=1,TRUE,FALSE)</f>
        <v>0</v>
      </c>
      <c r="N44" s="26" t="b">
        <f>IF((D22=$C$9)+(VALUE(RIGHT($C$9,1))=$L44)*(OR(N$46+1=(MATCH(LEFT($C$9,1),$M$45:$T$45,0)),N$46-1=(MATCH(LEFT($C$9,1),$M$45:$T$45,0))))+(MATCH(LEFT($C$9,1),$M$45:$T$45,0)=N$46)*(OR($L44+1=VALUE(RIGHT($C$9,1)),$L44-1=VALUE(RIGHT($C$9,1))))&gt;=1,TRUE,FALSE)</f>
        <v>0</v>
      </c>
      <c r="O44" s="26" t="b">
        <f>IF((E22=$C$9)+(VALUE(RIGHT($C$9,1))=$L44)*(OR(O$46+1=(MATCH(LEFT($C$9,1),$M$45:$T$45,0)),O$46-1=(MATCH(LEFT($C$9,1),$M$45:$T$45,0))))+(MATCH(LEFT($C$9,1),$M$45:$T$45,0)=O$46)*(OR($L44+1=VALUE(RIGHT($C$9,1)),$L44-1=VALUE(RIGHT($C$9,1))))&gt;=1,TRUE,FALSE)</f>
        <v>0</v>
      </c>
      <c r="P44" s="26" t="b">
        <f>IF((F22=$C$9)+(VALUE(RIGHT($C$9,1))=$L44)*(OR(P$46+1=(MATCH(LEFT($C$9,1),$M$45:$T$45,0)),P$46-1=(MATCH(LEFT($C$9,1),$M$45:$T$45,0))))+(MATCH(LEFT($C$9,1),$M$45:$T$45,0)=P$46)*(OR($L44+1=VALUE(RIGHT($C$9,1)),$L44-1=VALUE(RIGHT($C$9,1))))&gt;=1,TRUE,FALSE)</f>
        <v>0</v>
      </c>
      <c r="Q44" s="26" t="b">
        <f>IF((G22=$C$9)+(VALUE(RIGHT($C$9,1))=$L44)*(OR(Q$46+1=(MATCH(LEFT($C$9,1),$M$45:$T$45,0)),Q$46-1=(MATCH(LEFT($C$9,1),$M$45:$T$45,0))))+(MATCH(LEFT($C$9,1),$M$45:$T$45,0)=Q$46)*(OR($L44+1=VALUE(RIGHT($C$9,1)),$L44-1=VALUE(RIGHT($C$9,1))))&gt;=1,TRUE,FALSE)</f>
        <v>0</v>
      </c>
      <c r="R44" s="26" t="b">
        <f>IF((H22=$C$9)+(VALUE(RIGHT($C$9,1))=$L44)*(OR(R$46+1=(MATCH(LEFT($C$9,1),$M$45:$T$45,0)),R$46-1=(MATCH(LEFT($C$9,1),$M$45:$T$45,0))))+(MATCH(LEFT($C$9,1),$M$45:$T$45,0)=R$46)*(OR($L44+1=VALUE(RIGHT($C$9,1)),$L44-1=VALUE(RIGHT($C$9,1))))&gt;=1,TRUE,FALSE)</f>
        <v>0</v>
      </c>
      <c r="S44" s="26" t="b">
        <f>IF((I22=$C$9)+(VALUE(RIGHT($C$9,1))=$L44)*(OR(S$46+1=(MATCH(LEFT($C$9,1),$M$45:$T$45,0)),S$46-1=(MATCH(LEFT($C$9,1),$M$45:$T$45,0))))+(MATCH(LEFT($C$9,1),$M$45:$T$45,0)=S$46)*(OR($L44+1=VALUE(RIGHT($C$9,1)),$L44-1=VALUE(RIGHT($C$9,1))))&gt;=1,TRUE,FALSE)</f>
        <v>0</v>
      </c>
      <c r="T44" s="27" t="b">
        <f>IF((J22=$C$9)+(VALUE(RIGHT($C$9,1))=$L44)*(OR(T$46+1=(MATCH(LEFT($C$9,1),$M$45:$T$45,0)),T$46-1=(MATCH(LEFT($C$9,1),$M$45:$T$45,0))))+(MATCH(LEFT($C$9,1),$M$45:$T$45,0)=T$46)*(OR($L44+1=VALUE(RIGHT($C$9,1)),$L44-1=VALUE(RIGHT($C$9,1))))&gt;=1,TRUE,FALSE)</f>
        <v>0</v>
      </c>
    </row>
    <row r="45" spans="2:20" x14ac:dyDescent="0.45">
      <c r="C45" s="2" t="s">
        <v>7</v>
      </c>
      <c r="D45" s="2" t="s">
        <v>8</v>
      </c>
      <c r="E45" s="2" t="s">
        <v>9</v>
      </c>
      <c r="F45" s="2" t="s">
        <v>10</v>
      </c>
      <c r="G45" s="2" t="s">
        <v>11</v>
      </c>
      <c r="H45" s="2" t="s">
        <v>12</v>
      </c>
      <c r="I45" s="2" t="s">
        <v>13</v>
      </c>
      <c r="J45" s="2" t="s">
        <v>14</v>
      </c>
      <c r="M45" s="7" t="s">
        <v>7</v>
      </c>
      <c r="N45" s="7" t="s">
        <v>8</v>
      </c>
      <c r="O45" s="7" t="s">
        <v>9</v>
      </c>
      <c r="P45" s="7" t="s">
        <v>10</v>
      </c>
      <c r="Q45" s="7" t="s">
        <v>11</v>
      </c>
      <c r="R45" s="7" t="s">
        <v>12</v>
      </c>
      <c r="S45" s="7" t="s">
        <v>13</v>
      </c>
      <c r="T45" s="7" t="s">
        <v>14</v>
      </c>
    </row>
    <row r="46" spans="2:20" x14ac:dyDescent="0.45">
      <c r="C46" s="7">
        <v>1</v>
      </c>
      <c r="D46" s="7">
        <v>2</v>
      </c>
      <c r="E46" s="7">
        <v>3</v>
      </c>
      <c r="F46" s="7">
        <v>4</v>
      </c>
      <c r="G46" s="7">
        <v>5</v>
      </c>
      <c r="H46" s="7">
        <v>6</v>
      </c>
      <c r="I46" s="7">
        <v>7</v>
      </c>
      <c r="J46" s="7">
        <v>8</v>
      </c>
      <c r="M46" s="7">
        <v>1</v>
      </c>
      <c r="N46" s="7">
        <v>2</v>
      </c>
      <c r="O46" s="7">
        <v>3</v>
      </c>
      <c r="P46" s="7">
        <v>4</v>
      </c>
      <c r="Q46" s="7">
        <v>5</v>
      </c>
      <c r="R46" s="7">
        <v>6</v>
      </c>
      <c r="S46" s="7">
        <v>7</v>
      </c>
      <c r="T46" s="7">
        <v>8</v>
      </c>
    </row>
    <row r="49" spans="2:20" ht="14.65" thickBot="1" x14ac:dyDescent="0.5">
      <c r="C49" s="32" t="s">
        <v>5</v>
      </c>
      <c r="D49" s="32"/>
      <c r="E49" s="32"/>
      <c r="F49" s="32"/>
      <c r="G49" s="32"/>
      <c r="H49" s="32"/>
      <c r="I49" s="32"/>
      <c r="J49" s="32"/>
      <c r="M49" s="34" t="s">
        <v>3</v>
      </c>
      <c r="N49" s="34"/>
      <c r="O49" s="34"/>
      <c r="P49" s="34"/>
      <c r="Q49" s="34"/>
      <c r="R49" s="34"/>
      <c r="S49" s="34"/>
      <c r="T49" s="34"/>
    </row>
    <row r="50" spans="2:20" ht="14.65" thickBot="1" x14ac:dyDescent="0.5">
      <c r="B50">
        <v>8</v>
      </c>
      <c r="C50" s="17" t="b">
        <f>OR(IF((C15=$C$9)+((ABS(MATCH(LEFT($C$9,1),$C$45:$J$45,0)-C$46))=(ABS(VALUE(RIGHT($C$9,1))-$B37)))&gt;=1,TRUE,FALSE),IF(((C15=$C$9)+(VALUE(RIGHT($C$9,1))=$B25)+(LEFT($C$9,1)=C$33))&gt;=1,TRUE,FALSE))</f>
        <v>0</v>
      </c>
      <c r="D50" s="17" t="b">
        <f>OR(IF((D15=$C$9)+((ABS(MATCH(LEFT($C$9,1),$C$45:$J$45,0)-D$46))=(ABS(VALUE(RIGHT($C$9,1))-$B37)))&gt;=1,TRUE,FALSE),IF(((D15=$C$9)+(VALUE(RIGHT($C$9,1))=$B25)+(LEFT($C$9,1)=D$33))&gt;=1,TRUE,FALSE))</f>
        <v>0</v>
      </c>
      <c r="E50" s="17" t="b">
        <f>OR(IF((E15=$C$9)+((ABS(MATCH(LEFT($C$9,1),$C$45:$J$45,0)-E$46))=(ABS(VALUE(RIGHT($C$9,1))-$B37)))&gt;=1,TRUE,FALSE),IF(((E15=$C$9)+(VALUE(RIGHT($C$9,1))=$B25)+(LEFT($C$9,1)=E$33))&gt;=1,TRUE,FALSE))</f>
        <v>0</v>
      </c>
      <c r="F50" s="17" t="b">
        <f>OR(IF((F15=$C$9)+((ABS(MATCH(LEFT($C$9,1),$C$45:$J$45,0)-F$46))=(ABS(VALUE(RIGHT($C$9,1))-$B37)))&gt;=1,TRUE,FALSE),IF(((F15=$C$9)+(VALUE(RIGHT($C$9,1))=$B25)+(LEFT($C$9,1)=F$33))&gt;=1,TRUE,FALSE))</f>
        <v>0</v>
      </c>
      <c r="G50" s="17" t="b">
        <f>OR(IF((G15=$C$9)+((ABS(MATCH(LEFT($C$9,1),$C$45:$J$45,0)-G$46))=(ABS(VALUE(RIGHT($C$9,1))-$B37)))&gt;=1,TRUE,FALSE),IF(((G15=$C$9)+(VALUE(RIGHT($C$9,1))=$B25)+(LEFT($C$9,1)=G$33))&gt;=1,TRUE,FALSE))</f>
        <v>1</v>
      </c>
      <c r="H50" s="17" t="b">
        <f>OR(IF((H15=$C$9)+((ABS(MATCH(LEFT($C$9,1),$C$45:$J$45,0)-H$46))=(ABS(VALUE(RIGHT($C$9,1))-$B37)))&gt;=1,TRUE,FALSE),IF(((H15=$C$9)+(VALUE(RIGHT($C$9,1))=$B25)+(LEFT($C$9,1)=H$33))&gt;=1,TRUE,FALSE))</f>
        <v>0</v>
      </c>
      <c r="I50" s="17" t="b">
        <f>OR(IF((I15=$C$9)+((ABS(MATCH(LEFT($C$9,1),$C$45:$J$45,0)-I$46))=(ABS(VALUE(RIGHT($C$9,1))-$B37)))&gt;=1,TRUE,FALSE),IF(((I15=$C$9)+(VALUE(RIGHT($C$9,1))=$B25)+(LEFT($C$9,1)=I$33))&gt;=1,TRUE,FALSE))</f>
        <v>0</v>
      </c>
      <c r="J50" s="25" t="b">
        <f>OR(IF((J15=$C$9)+((ABS(MATCH(LEFT($C$9,1),$C$45:$J$45,0)-J$46))=(ABS(VALUE(RIGHT($C$9,1))-$B37)))&gt;=1,TRUE,FALSE),IF(((J15=$C$9)+(VALUE(RIGHT($C$9,1))=$B25)+(LEFT($C$9,1)=J$33))&gt;=1,TRUE,FALSE))</f>
        <v>0</v>
      </c>
      <c r="L50">
        <v>8</v>
      </c>
      <c r="M50" s="17" t="b">
        <f>IF((C15=$C$9)+(RIGHT($C$9,1)+2=$L50)*OR(MATCH(LEFT($C$9,1),$M$58:$T$58,0)-1=M$59,MATCH(LEFT($C$9,1),$M$58:$T$58,0)+1=M$59)+(RIGHT($C$9,1)-2=$L50)*OR(MATCH(LEFT($C$9,1),$M$58:$T$58,0)-1=M$59,MATCH(LEFT($C$9,1),$M$58:$T$58,0)+1=M$59)+(MATCH(LEFT($C$9,1),$M$58:$T$58,0)-2=M$59)*(OR(RIGHT($C$9,1)+1=$L50,RIGHT($C$9,1)-1=$L50))+(MATCH(LEFT($C$9,1),$M$58:$T$58,0)+2=M$59)*(OR(RIGHT($C$9,1)+1=$L50,RIGHT($C$9,1)-1=$L50))=1,TRUE,FALSE)</f>
        <v>0</v>
      </c>
      <c r="N50" s="17" t="b">
        <f>IF((D15=$C$9)+(RIGHT($C$9,1)+2=$L50)*OR(MATCH(LEFT($C$9,1),$M$58:$T$58,0)-1=N$59,MATCH(LEFT($C$9,1),$M$58:$T$58,0)+1=N$59)+(RIGHT($C$9,1)-2=$L50)*OR(MATCH(LEFT($C$9,1),$M$58:$T$58,0)-1=N$59,MATCH(LEFT($C$9,1),$M$58:$T$58,0)+1=N$59)+(MATCH(LEFT($C$9,1),$M$58:$T$58,0)-2=N$59)*(OR(RIGHT($C$9,1)+1=$L50,RIGHT($C$9,1)-1=$L50))+(MATCH(LEFT($C$9,1),$M$58:$T$58,0)+2=N$59)*(OR(RIGHT($C$9,1)+1=$L50,RIGHT($C$9,1)-1=$L50))=1,TRUE,FALSE)</f>
        <v>0</v>
      </c>
      <c r="O50" s="17" t="b">
        <f>IF((E15=$C$9)+(RIGHT($C$9,1)+2=$L50)*OR(MATCH(LEFT($C$9,1),$M$58:$T$58,0)-1=O$59,MATCH(LEFT($C$9,1),$M$58:$T$58,0)+1=O$59)+(RIGHT($C$9,1)-2=$L50)*OR(MATCH(LEFT($C$9,1),$M$58:$T$58,0)-1=O$59,MATCH(LEFT($C$9,1),$M$58:$T$58,0)+1=O$59)+(MATCH(LEFT($C$9,1),$M$58:$T$58,0)-2=O$59)*(OR(RIGHT($C$9,1)+1=$L50,RIGHT($C$9,1)-1=$L50))+(MATCH(LEFT($C$9,1),$M$58:$T$58,0)+2=O$59)*(OR(RIGHT($C$9,1)+1=$L50,RIGHT($C$9,1)-1=$L50))=1,TRUE,FALSE)</f>
        <v>0</v>
      </c>
      <c r="P50" s="17" t="b">
        <f>IF((F15=$C$9)+(RIGHT($C$9,1)+2=$L50)*OR(MATCH(LEFT($C$9,1),$M$58:$T$58,0)-1=P$59,MATCH(LEFT($C$9,1),$M$58:$T$58,0)+1=P$59)+(RIGHT($C$9,1)-2=$L50)*OR(MATCH(LEFT($C$9,1),$M$58:$T$58,0)-1=P$59,MATCH(LEFT($C$9,1),$M$58:$T$58,0)+1=P$59)+(MATCH(LEFT($C$9,1),$M$58:$T$58,0)-2=P$59)*(OR(RIGHT($C$9,1)+1=$L50,RIGHT($C$9,1)-1=$L50))+(MATCH(LEFT($C$9,1),$M$58:$T$58,0)+2=P$59)*(OR(RIGHT($C$9,1)+1=$L50,RIGHT($C$9,1)-1=$L50))=1,TRUE,FALSE)</f>
        <v>0</v>
      </c>
      <c r="Q50" s="17" t="b">
        <f>IF((G15=$C$9)+(RIGHT($C$9,1)+2=$L50)*OR(MATCH(LEFT($C$9,1),$M$58:$T$58,0)-1=Q$59,MATCH(LEFT($C$9,1),$M$58:$T$58,0)+1=Q$59)+(RIGHT($C$9,1)-2=$L50)*OR(MATCH(LEFT($C$9,1),$M$58:$T$58,0)-1=Q$59,MATCH(LEFT($C$9,1),$M$58:$T$58,0)+1=Q$59)+(MATCH(LEFT($C$9,1),$M$58:$T$58,0)-2=Q$59)*(OR(RIGHT($C$9,1)+1=$L50,RIGHT($C$9,1)-1=$L50))+(MATCH(LEFT($C$9,1),$M$58:$T$58,0)+2=Q$59)*(OR(RIGHT($C$9,1)+1=$L50,RIGHT($C$9,1)-1=$L50))=1,TRUE,FALSE)</f>
        <v>0</v>
      </c>
      <c r="R50" s="17" t="b">
        <f>IF((H15=$C$9)+(RIGHT($C$9,1)+2=$L50)*OR(MATCH(LEFT($C$9,1),$M$58:$T$58,0)-1=R$59,MATCH(LEFT($C$9,1),$M$58:$T$58,0)+1=R$59)+(RIGHT($C$9,1)-2=$L50)*OR(MATCH(LEFT($C$9,1),$M$58:$T$58,0)-1=R$59,MATCH(LEFT($C$9,1),$M$58:$T$58,0)+1=R$59)+(MATCH(LEFT($C$9,1),$M$58:$T$58,0)-2=R$59)*(OR(RIGHT($C$9,1)+1=$L50,RIGHT($C$9,1)-1=$L50))+(MATCH(LEFT($C$9,1),$M$58:$T$58,0)+2=R$59)*(OR(RIGHT($C$9,1)+1=$L50,RIGHT($C$9,1)-1=$L50))=1,TRUE,FALSE)</f>
        <v>0</v>
      </c>
      <c r="S50" s="17" t="b">
        <f>IF((I15=$C$9)+(RIGHT($C$9,1)+2=$L50)*OR(MATCH(LEFT($C$9,1),$M$58:$T$58,0)-1=S$59,MATCH(LEFT($C$9,1),$M$58:$T$58,0)+1=S$59)+(RIGHT($C$9,1)-2=$L50)*OR(MATCH(LEFT($C$9,1),$M$58:$T$58,0)-1=S$59,MATCH(LEFT($C$9,1),$M$58:$T$58,0)+1=S$59)+(MATCH(LEFT($C$9,1),$M$58:$T$58,0)-2=S$59)*(OR(RIGHT($C$9,1)+1=$L50,RIGHT($C$9,1)-1=$L50))+(MATCH(LEFT($C$9,1),$M$58:$T$58,0)+2=S$59)*(OR(RIGHT($C$9,1)+1=$L50,RIGHT($C$9,1)-1=$L50))=1,TRUE,FALSE)</f>
        <v>0</v>
      </c>
      <c r="T50" s="17" t="b">
        <f>IF((J15=$C$9)+(RIGHT($C$9,1)+2=$L50)*OR(MATCH(LEFT($C$9,1),$M$58:$T$58,0)-1=T$59,MATCH(LEFT($C$9,1),$M$58:$T$58,0)+1=T$59)+(RIGHT($C$9,1)-2=$L50)*OR(MATCH(LEFT($C$9,1),$M$58:$T$58,0)-1=T$59,MATCH(LEFT($C$9,1),$M$58:$T$58,0)+1=T$59)+(MATCH(LEFT($C$9,1),$M$58:$T$58,0)-2=T$59)*(OR(RIGHT($C$9,1)+1=$L50,RIGHT($C$9,1)-1=$L50))+(MATCH(LEFT($C$9,1),$M$58:$T$58,0)+2=T$59)*(OR(RIGHT($C$9,1)+1=$L50,RIGHT($C$9,1)-1=$L50))=1,TRUE,FALSE)</f>
        <v>0</v>
      </c>
    </row>
    <row r="51" spans="2:20" ht="14.65" thickBot="1" x14ac:dyDescent="0.5">
      <c r="B51">
        <v>7</v>
      </c>
      <c r="C51" s="17" t="b">
        <f>OR(IF((C16=$C$9)+((ABS(MATCH(LEFT($C$9,1),$C$45:$J$45,0)-C$46))=(ABS(VALUE(RIGHT($C$9,1))-$B38)))&gt;=1,TRUE,FALSE),IF(((C16=$C$9)+(VALUE(RIGHT($C$9,1))=$B26)+(LEFT($C$9,1)=C$33))&gt;=1,TRUE,FALSE))</f>
        <v>1</v>
      </c>
      <c r="D51" s="17" t="b">
        <f>OR(IF((D16=$C$9)+((ABS(MATCH(LEFT($C$9,1),$C$45:$J$45,0)-D$46))=(ABS(VALUE(RIGHT($C$9,1))-$B38)))&gt;=1,TRUE,FALSE),IF(((D16=$C$9)+(VALUE(RIGHT($C$9,1))=$B26)+(LEFT($C$9,1)=D$33))&gt;=1,TRUE,FALSE))</f>
        <v>0</v>
      </c>
      <c r="E51" s="17" t="b">
        <f>OR(IF((E16=$C$9)+((ABS(MATCH(LEFT($C$9,1),$C$45:$J$45,0)-E$46))=(ABS(VALUE(RIGHT($C$9,1))-$B38)))&gt;=1,TRUE,FALSE),IF(((E16=$C$9)+(VALUE(RIGHT($C$9,1))=$B26)+(LEFT($C$9,1)=E$33))&gt;=1,TRUE,FALSE))</f>
        <v>0</v>
      </c>
      <c r="F51" s="17" t="b">
        <f>OR(IF((F16=$C$9)+((ABS(MATCH(LEFT($C$9,1),$C$45:$J$45,0)-F$46))=(ABS(VALUE(RIGHT($C$9,1))-$B38)))&gt;=1,TRUE,FALSE),IF(((F16=$C$9)+(VALUE(RIGHT($C$9,1))=$B26)+(LEFT($C$9,1)=F$33))&gt;=1,TRUE,FALSE))</f>
        <v>0</v>
      </c>
      <c r="G51" s="17" t="b">
        <f>OR(IF((G16=$C$9)+((ABS(MATCH(LEFT($C$9,1),$C$45:$J$45,0)-G$46))=(ABS(VALUE(RIGHT($C$9,1))-$B38)))&gt;=1,TRUE,FALSE),IF(((G16=$C$9)+(VALUE(RIGHT($C$9,1))=$B26)+(LEFT($C$9,1)=G$33))&gt;=1,TRUE,FALSE))</f>
        <v>1</v>
      </c>
      <c r="H51" s="17" t="b">
        <f>OR(IF((H16=$C$9)+((ABS(MATCH(LEFT($C$9,1),$C$45:$J$45,0)-H$46))=(ABS(VALUE(RIGHT($C$9,1))-$B38)))&gt;=1,TRUE,FALSE),IF(((H16=$C$9)+(VALUE(RIGHT($C$9,1))=$B26)+(LEFT($C$9,1)=H$33))&gt;=1,TRUE,FALSE))</f>
        <v>0</v>
      </c>
      <c r="I51" s="17" t="b">
        <f>OR(IF((I16=$C$9)+((ABS(MATCH(LEFT($C$9,1),$C$45:$J$45,0)-I$46))=(ABS(VALUE(RIGHT($C$9,1))-$B38)))&gt;=1,TRUE,FALSE),IF(((I16=$C$9)+(VALUE(RIGHT($C$9,1))=$B26)+(LEFT($C$9,1)=I$33))&gt;=1,TRUE,FALSE))</f>
        <v>0</v>
      </c>
      <c r="J51" s="25" t="b">
        <f>OR(IF((J16=$C$9)+((ABS(MATCH(LEFT($C$9,1),$C$45:$J$45,0)-J$46))=(ABS(VALUE(RIGHT($C$9,1))-$B38)))&gt;=1,TRUE,FALSE),IF(((J16=$C$9)+(VALUE(RIGHT($C$9,1))=$B26)+(LEFT($C$9,1)=J$33))&gt;=1,TRUE,FALSE))</f>
        <v>0</v>
      </c>
      <c r="L51">
        <v>7</v>
      </c>
      <c r="M51" s="17" t="b">
        <f>IF((C16=$C$9)+(RIGHT($C$9,1)+2=$L51)*OR(MATCH(LEFT($C$9,1),$M$58:$T$58,0)-1=M$59,MATCH(LEFT($C$9,1),$M$58:$T$58,0)+1=M$59)+(RIGHT($C$9,1)-2=$L51)*OR(MATCH(LEFT($C$9,1),$M$58:$T$58,0)-1=M$59,MATCH(LEFT($C$9,1),$M$58:$T$58,0)+1=M$59)+(MATCH(LEFT($C$9,1),$M$58:$T$58,0)-2=M$59)*(OR(RIGHT($C$9,1)+1=$L51,RIGHT($C$9,1)-1=$L51))+(MATCH(LEFT($C$9,1),$M$58:$T$58,0)+2=M$59)*(OR(RIGHT($C$9,1)+1=$L51,RIGHT($C$9,1)-1=$L51))=1,TRUE,FALSE)</f>
        <v>0</v>
      </c>
      <c r="N51" s="17" t="b">
        <f>IF((D16=$C$9)+(RIGHT($C$9,1)+2=$L51)*OR(MATCH(LEFT($C$9,1),$M$58:$T$58,0)-1=N$59,MATCH(LEFT($C$9,1),$M$58:$T$58,0)+1=N$59)+(RIGHT($C$9,1)-2=$L51)*OR(MATCH(LEFT($C$9,1),$M$58:$T$58,0)-1=N$59,MATCH(LEFT($C$9,1),$M$58:$T$58,0)+1=N$59)+(MATCH(LEFT($C$9,1),$M$58:$T$58,0)-2=N$59)*(OR(RIGHT($C$9,1)+1=$L51,RIGHT($C$9,1)-1=$L51))+(MATCH(LEFT($C$9,1),$M$58:$T$58,0)+2=N$59)*(OR(RIGHT($C$9,1)+1=$L51,RIGHT($C$9,1)-1=$L51))=1,TRUE,FALSE)</f>
        <v>0</v>
      </c>
      <c r="O51" s="17" t="b">
        <f>IF((E16=$C$9)+(RIGHT($C$9,1)+2=$L51)*OR(MATCH(LEFT($C$9,1),$M$58:$T$58,0)-1=O$59,MATCH(LEFT($C$9,1),$M$58:$T$58,0)+1=O$59)+(RIGHT($C$9,1)-2=$L51)*OR(MATCH(LEFT($C$9,1),$M$58:$T$58,0)-1=O$59,MATCH(LEFT($C$9,1),$M$58:$T$58,0)+1=O$59)+(MATCH(LEFT($C$9,1),$M$58:$T$58,0)-2=O$59)*(OR(RIGHT($C$9,1)+1=$L51,RIGHT($C$9,1)-1=$L51))+(MATCH(LEFT($C$9,1),$M$58:$T$58,0)+2=O$59)*(OR(RIGHT($C$9,1)+1=$L51,RIGHT($C$9,1)-1=$L51))=1,TRUE,FALSE)</f>
        <v>0</v>
      </c>
      <c r="P51" s="17" t="b">
        <f>IF((F16=$C$9)+(RIGHT($C$9,1)+2=$L51)*OR(MATCH(LEFT($C$9,1),$M$58:$T$58,0)-1=P$59,MATCH(LEFT($C$9,1),$M$58:$T$58,0)+1=P$59)+(RIGHT($C$9,1)-2=$L51)*OR(MATCH(LEFT($C$9,1),$M$58:$T$58,0)-1=P$59,MATCH(LEFT($C$9,1),$M$58:$T$58,0)+1=P$59)+(MATCH(LEFT($C$9,1),$M$58:$T$58,0)-2=P$59)*(OR(RIGHT($C$9,1)+1=$L51,RIGHT($C$9,1)-1=$L51))+(MATCH(LEFT($C$9,1),$M$58:$T$58,0)+2=P$59)*(OR(RIGHT($C$9,1)+1=$L51,RIGHT($C$9,1)-1=$L51))=1,TRUE,FALSE)</f>
        <v>0</v>
      </c>
      <c r="Q51" s="17" t="b">
        <f>IF((G16=$C$9)+(RIGHT($C$9,1)+2=$L51)*OR(MATCH(LEFT($C$9,1),$M$58:$T$58,0)-1=Q$59,MATCH(LEFT($C$9,1),$M$58:$T$58,0)+1=Q$59)+(RIGHT($C$9,1)-2=$L51)*OR(MATCH(LEFT($C$9,1),$M$58:$T$58,0)-1=Q$59,MATCH(LEFT($C$9,1),$M$58:$T$58,0)+1=Q$59)+(MATCH(LEFT($C$9,1),$M$58:$T$58,0)-2=Q$59)*(OR(RIGHT($C$9,1)+1=$L51,RIGHT($C$9,1)-1=$L51))+(MATCH(LEFT($C$9,1),$M$58:$T$58,0)+2=Q$59)*(OR(RIGHT($C$9,1)+1=$L51,RIGHT($C$9,1)-1=$L51))=1,TRUE,FALSE)</f>
        <v>0</v>
      </c>
      <c r="R51" s="17" t="b">
        <f>IF((H16=$C$9)+(RIGHT($C$9,1)+2=$L51)*OR(MATCH(LEFT($C$9,1),$M$58:$T$58,0)-1=R$59,MATCH(LEFT($C$9,1),$M$58:$T$58,0)+1=R$59)+(RIGHT($C$9,1)-2=$L51)*OR(MATCH(LEFT($C$9,1),$M$58:$T$58,0)-1=R$59,MATCH(LEFT($C$9,1),$M$58:$T$58,0)+1=R$59)+(MATCH(LEFT($C$9,1),$M$58:$T$58,0)-2=R$59)*(OR(RIGHT($C$9,1)+1=$L51,RIGHT($C$9,1)-1=$L51))+(MATCH(LEFT($C$9,1),$M$58:$T$58,0)+2=R$59)*(OR(RIGHT($C$9,1)+1=$L51,RIGHT($C$9,1)-1=$L51))=1,TRUE,FALSE)</f>
        <v>0</v>
      </c>
      <c r="S51" s="17" t="b">
        <f>IF((I16=$C$9)+(RIGHT($C$9,1)+2=$L51)*OR(MATCH(LEFT($C$9,1),$M$58:$T$58,0)-1=S$59,MATCH(LEFT($C$9,1),$M$58:$T$58,0)+1=S$59)+(RIGHT($C$9,1)-2=$L51)*OR(MATCH(LEFT($C$9,1),$M$58:$T$58,0)-1=S$59,MATCH(LEFT($C$9,1),$M$58:$T$58,0)+1=S$59)+(MATCH(LEFT($C$9,1),$M$58:$T$58,0)-2=S$59)*(OR(RIGHT($C$9,1)+1=$L51,RIGHT($C$9,1)-1=$L51))+(MATCH(LEFT($C$9,1),$M$58:$T$58,0)+2=S$59)*(OR(RIGHT($C$9,1)+1=$L51,RIGHT($C$9,1)-1=$L51))=1,TRUE,FALSE)</f>
        <v>0</v>
      </c>
      <c r="T51" s="17" t="b">
        <f>IF((J16=$C$9)+(RIGHT($C$9,1)+2=$L51)*OR(MATCH(LEFT($C$9,1),$M$58:$T$58,0)-1=T$59,MATCH(LEFT($C$9,1),$M$58:$T$58,0)+1=T$59)+(RIGHT($C$9,1)-2=$L51)*OR(MATCH(LEFT($C$9,1),$M$58:$T$58,0)-1=T$59,MATCH(LEFT($C$9,1),$M$58:$T$58,0)+1=T$59)+(MATCH(LEFT($C$9,1),$M$58:$T$58,0)-2=T$59)*(OR(RIGHT($C$9,1)+1=$L51,RIGHT($C$9,1)-1=$L51))+(MATCH(LEFT($C$9,1),$M$58:$T$58,0)+2=T$59)*(OR(RIGHT($C$9,1)+1=$L51,RIGHT($C$9,1)-1=$L51))=1,TRUE,FALSE)</f>
        <v>0</v>
      </c>
    </row>
    <row r="52" spans="2:20" ht="14.65" thickBot="1" x14ac:dyDescent="0.5">
      <c r="B52">
        <v>6</v>
      </c>
      <c r="C52" s="17" t="b">
        <f>OR(IF((C17=$C$9)+((ABS(MATCH(LEFT($C$9,1),$C$45:$J$45,0)-C$46))=(ABS(VALUE(RIGHT($C$9,1))-$B39)))&gt;=1,TRUE,FALSE),IF(((C17=$C$9)+(VALUE(RIGHT($C$9,1))=$B27)+(LEFT($C$9,1)=C$33))&gt;=1,TRUE,FALSE))</f>
        <v>0</v>
      </c>
      <c r="D52" s="17" t="b">
        <f>OR(IF((D17=$C$9)+((ABS(MATCH(LEFT($C$9,1),$C$45:$J$45,0)-D$46))=(ABS(VALUE(RIGHT($C$9,1))-$B39)))&gt;=1,TRUE,FALSE),IF(((D17=$C$9)+(VALUE(RIGHT($C$9,1))=$B27)+(LEFT($C$9,1)=D$33))&gt;=1,TRUE,FALSE))</f>
        <v>1</v>
      </c>
      <c r="E52" s="17" t="b">
        <f>OR(IF((E17=$C$9)+((ABS(MATCH(LEFT($C$9,1),$C$45:$J$45,0)-E$46))=(ABS(VALUE(RIGHT($C$9,1))-$B39)))&gt;=1,TRUE,FALSE),IF(((E17=$C$9)+(VALUE(RIGHT($C$9,1))=$B27)+(LEFT($C$9,1)=E$33))&gt;=1,TRUE,FALSE))</f>
        <v>0</v>
      </c>
      <c r="F52" s="17" t="b">
        <f>OR(IF((F17=$C$9)+((ABS(MATCH(LEFT($C$9,1),$C$45:$J$45,0)-F$46))=(ABS(VALUE(RIGHT($C$9,1))-$B39)))&gt;=1,TRUE,FALSE),IF(((F17=$C$9)+(VALUE(RIGHT($C$9,1))=$B27)+(LEFT($C$9,1)=F$33))&gt;=1,TRUE,FALSE))</f>
        <v>0</v>
      </c>
      <c r="G52" s="17" t="b">
        <f>OR(IF((G17=$C$9)+((ABS(MATCH(LEFT($C$9,1),$C$45:$J$45,0)-G$46))=(ABS(VALUE(RIGHT($C$9,1))-$B39)))&gt;=1,TRUE,FALSE),IF(((G17=$C$9)+(VALUE(RIGHT($C$9,1))=$B27)+(LEFT($C$9,1)=G$33))&gt;=1,TRUE,FALSE))</f>
        <v>1</v>
      </c>
      <c r="H52" s="17" t="b">
        <f>OR(IF((H17=$C$9)+((ABS(MATCH(LEFT($C$9,1),$C$45:$J$45,0)-H$46))=(ABS(VALUE(RIGHT($C$9,1))-$B39)))&gt;=1,TRUE,FALSE),IF(((H17=$C$9)+(VALUE(RIGHT($C$9,1))=$B27)+(LEFT($C$9,1)=H$33))&gt;=1,TRUE,FALSE))</f>
        <v>0</v>
      </c>
      <c r="I52" s="17" t="b">
        <f>OR(IF((I17=$C$9)+((ABS(MATCH(LEFT($C$9,1),$C$45:$J$45,0)-I$46))=(ABS(VALUE(RIGHT($C$9,1))-$B39)))&gt;=1,TRUE,FALSE),IF(((I17=$C$9)+(VALUE(RIGHT($C$9,1))=$B27)+(LEFT($C$9,1)=I$33))&gt;=1,TRUE,FALSE))</f>
        <v>0</v>
      </c>
      <c r="J52" s="25" t="b">
        <f>OR(IF((J17=$C$9)+((ABS(MATCH(LEFT($C$9,1),$C$45:$J$45,0)-J$46))=(ABS(VALUE(RIGHT($C$9,1))-$B39)))&gt;=1,TRUE,FALSE),IF(((J17=$C$9)+(VALUE(RIGHT($C$9,1))=$B27)+(LEFT($C$9,1)=J$33))&gt;=1,TRUE,FALSE))</f>
        <v>1</v>
      </c>
      <c r="L52">
        <v>6</v>
      </c>
      <c r="M52" s="17" t="b">
        <f>IF((C17=$C$9)+(RIGHT($C$9,1)+2=$L52)*OR(MATCH(LEFT($C$9,1),$M$58:$T$58,0)-1=M$59,MATCH(LEFT($C$9,1),$M$58:$T$58,0)+1=M$59)+(RIGHT($C$9,1)-2=$L52)*OR(MATCH(LEFT($C$9,1),$M$58:$T$58,0)-1=M$59,MATCH(LEFT($C$9,1),$M$58:$T$58,0)+1=M$59)+(MATCH(LEFT($C$9,1),$M$58:$T$58,0)-2=M$59)*(OR(RIGHT($C$9,1)+1=$L52,RIGHT($C$9,1)-1=$L52))+(MATCH(LEFT($C$9,1),$M$58:$T$58,0)+2=M$59)*(OR(RIGHT($C$9,1)+1=$L52,RIGHT($C$9,1)-1=$L52))=1,TRUE,FALSE)</f>
        <v>0</v>
      </c>
      <c r="N52" s="17" t="b">
        <f>IF((D17=$C$9)+(RIGHT($C$9,1)+2=$L52)*OR(MATCH(LEFT($C$9,1),$M$58:$T$58,0)-1=N$59,MATCH(LEFT($C$9,1),$M$58:$T$58,0)+1=N$59)+(RIGHT($C$9,1)-2=$L52)*OR(MATCH(LEFT($C$9,1),$M$58:$T$58,0)-1=N$59,MATCH(LEFT($C$9,1),$M$58:$T$58,0)+1=N$59)+(MATCH(LEFT($C$9,1),$M$58:$T$58,0)-2=N$59)*(OR(RIGHT($C$9,1)+1=$L52,RIGHT($C$9,1)-1=$L52))+(MATCH(LEFT($C$9,1),$M$58:$T$58,0)+2=N$59)*(OR(RIGHT($C$9,1)+1=$L52,RIGHT($C$9,1)-1=$L52))=1,TRUE,FALSE)</f>
        <v>0</v>
      </c>
      <c r="O52" s="17" t="b">
        <f>IF((E17=$C$9)+(RIGHT($C$9,1)+2=$L52)*OR(MATCH(LEFT($C$9,1),$M$58:$T$58,0)-1=O$59,MATCH(LEFT($C$9,1),$M$58:$T$58,0)+1=O$59)+(RIGHT($C$9,1)-2=$L52)*OR(MATCH(LEFT($C$9,1),$M$58:$T$58,0)-1=O$59,MATCH(LEFT($C$9,1),$M$58:$T$58,0)+1=O$59)+(MATCH(LEFT($C$9,1),$M$58:$T$58,0)-2=O$59)*(OR(RIGHT($C$9,1)+1=$L52,RIGHT($C$9,1)-1=$L52))+(MATCH(LEFT($C$9,1),$M$58:$T$58,0)+2=O$59)*(OR(RIGHT($C$9,1)+1=$L52,RIGHT($C$9,1)-1=$L52))=1,TRUE,FALSE)</f>
        <v>0</v>
      </c>
      <c r="P52" s="17" t="b">
        <f>IF((F17=$C$9)+(RIGHT($C$9,1)+2=$L52)*OR(MATCH(LEFT($C$9,1),$M$58:$T$58,0)-1=P$59,MATCH(LEFT($C$9,1),$M$58:$T$58,0)+1=P$59)+(RIGHT($C$9,1)-2=$L52)*OR(MATCH(LEFT($C$9,1),$M$58:$T$58,0)-1=P$59,MATCH(LEFT($C$9,1),$M$58:$T$58,0)+1=P$59)+(MATCH(LEFT($C$9,1),$M$58:$T$58,0)-2=P$59)*(OR(RIGHT($C$9,1)+1=$L52,RIGHT($C$9,1)-1=$L52))+(MATCH(LEFT($C$9,1),$M$58:$T$58,0)+2=P$59)*(OR(RIGHT($C$9,1)+1=$L52,RIGHT($C$9,1)-1=$L52))=1,TRUE,FALSE)</f>
        <v>0</v>
      </c>
      <c r="Q52" s="17" t="b">
        <f>IF((G17=$C$9)+(RIGHT($C$9,1)+2=$L52)*OR(MATCH(LEFT($C$9,1),$M$58:$T$58,0)-1=Q$59,MATCH(LEFT($C$9,1),$M$58:$T$58,0)+1=Q$59)+(RIGHT($C$9,1)-2=$L52)*OR(MATCH(LEFT($C$9,1),$M$58:$T$58,0)-1=Q$59,MATCH(LEFT($C$9,1),$M$58:$T$58,0)+1=Q$59)+(MATCH(LEFT($C$9,1),$M$58:$T$58,0)-2=Q$59)*(OR(RIGHT($C$9,1)+1=$L52,RIGHT($C$9,1)-1=$L52))+(MATCH(LEFT($C$9,1),$M$58:$T$58,0)+2=Q$59)*(OR(RIGHT($C$9,1)+1=$L52,RIGHT($C$9,1)-1=$L52))=1,TRUE,FALSE)</f>
        <v>0</v>
      </c>
      <c r="R52" s="17" t="b">
        <f>IF((H17=$C$9)+(RIGHT($C$9,1)+2=$L52)*OR(MATCH(LEFT($C$9,1),$M$58:$T$58,0)-1=R$59,MATCH(LEFT($C$9,1),$M$58:$T$58,0)+1=R$59)+(RIGHT($C$9,1)-2=$L52)*OR(MATCH(LEFT($C$9,1),$M$58:$T$58,0)-1=R$59,MATCH(LEFT($C$9,1),$M$58:$T$58,0)+1=R$59)+(MATCH(LEFT($C$9,1),$M$58:$T$58,0)-2=R$59)*(OR(RIGHT($C$9,1)+1=$L52,RIGHT($C$9,1)-1=$L52))+(MATCH(LEFT($C$9,1),$M$58:$T$58,0)+2=R$59)*(OR(RIGHT($C$9,1)+1=$L52,RIGHT($C$9,1)-1=$L52))=1,TRUE,FALSE)</f>
        <v>0</v>
      </c>
      <c r="S52" s="17" t="b">
        <f>IF((I17=$C$9)+(RIGHT($C$9,1)+2=$L52)*OR(MATCH(LEFT($C$9,1),$M$58:$T$58,0)-1=S$59,MATCH(LEFT($C$9,1),$M$58:$T$58,0)+1=S$59)+(RIGHT($C$9,1)-2=$L52)*OR(MATCH(LEFT($C$9,1),$M$58:$T$58,0)-1=S$59,MATCH(LEFT($C$9,1),$M$58:$T$58,0)+1=S$59)+(MATCH(LEFT($C$9,1),$M$58:$T$58,0)-2=S$59)*(OR(RIGHT($C$9,1)+1=$L52,RIGHT($C$9,1)-1=$L52))+(MATCH(LEFT($C$9,1),$M$58:$T$58,0)+2=S$59)*(OR(RIGHT($C$9,1)+1=$L52,RIGHT($C$9,1)-1=$L52))=1,TRUE,FALSE)</f>
        <v>0</v>
      </c>
      <c r="T52" s="17" t="b">
        <f>IF((J17=$C$9)+(RIGHT($C$9,1)+2=$L52)*OR(MATCH(LEFT($C$9,1),$M$58:$T$58,0)-1=T$59,MATCH(LEFT($C$9,1),$M$58:$T$58,0)+1=T$59)+(RIGHT($C$9,1)-2=$L52)*OR(MATCH(LEFT($C$9,1),$M$58:$T$58,0)-1=T$59,MATCH(LEFT($C$9,1),$M$58:$T$58,0)+1=T$59)+(MATCH(LEFT($C$9,1),$M$58:$T$58,0)-2=T$59)*(OR(RIGHT($C$9,1)+1=$L52,RIGHT($C$9,1)-1=$L52))+(MATCH(LEFT($C$9,1),$M$58:$T$58,0)+2=T$59)*(OR(RIGHT($C$9,1)+1=$L52,RIGHT($C$9,1)-1=$L52))=1,TRUE,FALSE)</f>
        <v>0</v>
      </c>
    </row>
    <row r="53" spans="2:20" ht="14.65" thickBot="1" x14ac:dyDescent="0.5">
      <c r="B53">
        <v>5</v>
      </c>
      <c r="C53" s="17" t="b">
        <f>OR(IF((C18=$C$9)+((ABS(MATCH(LEFT($C$9,1),$C$45:$J$45,0)-C$46))=(ABS(VALUE(RIGHT($C$9,1))-$B40)))&gt;=1,TRUE,FALSE),IF(((C18=$C$9)+(VALUE(RIGHT($C$9,1))=$B28)+(LEFT($C$9,1)=C$33))&gt;=1,TRUE,FALSE))</f>
        <v>0</v>
      </c>
      <c r="D53" s="17" t="b">
        <f>OR(IF((D18=$C$9)+((ABS(MATCH(LEFT($C$9,1),$C$45:$J$45,0)-D$46))=(ABS(VALUE(RIGHT($C$9,1))-$B40)))&gt;=1,TRUE,FALSE),IF(((D18=$C$9)+(VALUE(RIGHT($C$9,1))=$B28)+(LEFT($C$9,1)=D$33))&gt;=1,TRUE,FALSE))</f>
        <v>0</v>
      </c>
      <c r="E53" s="17" t="b">
        <f>OR(IF((E18=$C$9)+((ABS(MATCH(LEFT($C$9,1),$C$45:$J$45,0)-E$46))=(ABS(VALUE(RIGHT($C$9,1))-$B40)))&gt;=1,TRUE,FALSE),IF(((E18=$C$9)+(VALUE(RIGHT($C$9,1))=$B28)+(LEFT($C$9,1)=E$33))&gt;=1,TRUE,FALSE))</f>
        <v>1</v>
      </c>
      <c r="F53" s="17" t="b">
        <f>OR(IF((F18=$C$9)+((ABS(MATCH(LEFT($C$9,1),$C$45:$J$45,0)-F$46))=(ABS(VALUE(RIGHT($C$9,1))-$B40)))&gt;=1,TRUE,FALSE),IF(((F18=$C$9)+(VALUE(RIGHT($C$9,1))=$B28)+(LEFT($C$9,1)=F$33))&gt;=1,TRUE,FALSE))</f>
        <v>0</v>
      </c>
      <c r="G53" s="17" t="b">
        <f>OR(IF((G18=$C$9)+((ABS(MATCH(LEFT($C$9,1),$C$45:$J$45,0)-G$46))=(ABS(VALUE(RIGHT($C$9,1))-$B40)))&gt;=1,TRUE,FALSE),IF(((G18=$C$9)+(VALUE(RIGHT($C$9,1))=$B28)+(LEFT($C$9,1)=G$33))&gt;=1,TRUE,FALSE))</f>
        <v>1</v>
      </c>
      <c r="H53" s="17" t="b">
        <f>OR(IF((H18=$C$9)+((ABS(MATCH(LEFT($C$9,1),$C$45:$J$45,0)-H$46))=(ABS(VALUE(RIGHT($C$9,1))-$B40)))&gt;=1,TRUE,FALSE),IF(((H18=$C$9)+(VALUE(RIGHT($C$9,1))=$B28)+(LEFT($C$9,1)=H$33))&gt;=1,TRUE,FALSE))</f>
        <v>0</v>
      </c>
      <c r="I53" s="17" t="b">
        <f>OR(IF((I18=$C$9)+((ABS(MATCH(LEFT($C$9,1),$C$45:$J$45,0)-I$46))=(ABS(VALUE(RIGHT($C$9,1))-$B40)))&gt;=1,TRUE,FALSE),IF(((I18=$C$9)+(VALUE(RIGHT($C$9,1))=$B28)+(LEFT($C$9,1)=I$33))&gt;=1,TRUE,FALSE))</f>
        <v>1</v>
      </c>
      <c r="J53" s="25" t="b">
        <f>OR(IF((J18=$C$9)+((ABS(MATCH(LEFT($C$9,1),$C$45:$J$45,0)-J$46))=(ABS(VALUE(RIGHT($C$9,1))-$B40)))&gt;=1,TRUE,FALSE),IF(((J18=$C$9)+(VALUE(RIGHT($C$9,1))=$B28)+(LEFT($C$9,1)=J$33))&gt;=1,TRUE,FALSE))</f>
        <v>0</v>
      </c>
      <c r="L53">
        <v>5</v>
      </c>
      <c r="M53" s="17" t="b">
        <f>IF((C18=$C$9)+(RIGHT($C$9,1)+2=$L53)*OR(MATCH(LEFT($C$9,1),$M$58:$T$58,0)-1=M$59,MATCH(LEFT($C$9,1),$M$58:$T$58,0)+1=M$59)+(RIGHT($C$9,1)-2=$L53)*OR(MATCH(LEFT($C$9,1),$M$58:$T$58,0)-1=M$59,MATCH(LEFT($C$9,1),$M$58:$T$58,0)+1=M$59)+(MATCH(LEFT($C$9,1),$M$58:$T$58,0)-2=M$59)*(OR(RIGHT($C$9,1)+1=$L53,RIGHT($C$9,1)-1=$L53))+(MATCH(LEFT($C$9,1),$M$58:$T$58,0)+2=M$59)*(OR(RIGHT($C$9,1)+1=$L53,RIGHT($C$9,1)-1=$L53))=1,TRUE,FALSE)</f>
        <v>0</v>
      </c>
      <c r="N53" s="17" t="b">
        <f>IF((D18=$C$9)+(RIGHT($C$9,1)+2=$L53)*OR(MATCH(LEFT($C$9,1),$M$58:$T$58,0)-1=N$59,MATCH(LEFT($C$9,1),$M$58:$T$58,0)+1=N$59)+(RIGHT($C$9,1)-2=$L53)*OR(MATCH(LEFT($C$9,1),$M$58:$T$58,0)-1=N$59,MATCH(LEFT($C$9,1),$M$58:$T$58,0)+1=N$59)+(MATCH(LEFT($C$9,1),$M$58:$T$58,0)-2=N$59)*(OR(RIGHT($C$9,1)+1=$L53,RIGHT($C$9,1)-1=$L53))+(MATCH(LEFT($C$9,1),$M$58:$T$58,0)+2=N$59)*(OR(RIGHT($C$9,1)+1=$L53,RIGHT($C$9,1)-1=$L53))=1,TRUE,FALSE)</f>
        <v>0</v>
      </c>
      <c r="O53" s="17" t="b">
        <f>IF((E18=$C$9)+(RIGHT($C$9,1)+2=$L53)*OR(MATCH(LEFT($C$9,1),$M$58:$T$58,0)-1=O$59,MATCH(LEFT($C$9,1),$M$58:$T$58,0)+1=O$59)+(RIGHT($C$9,1)-2=$L53)*OR(MATCH(LEFT($C$9,1),$M$58:$T$58,0)-1=O$59,MATCH(LEFT($C$9,1),$M$58:$T$58,0)+1=O$59)+(MATCH(LEFT($C$9,1),$M$58:$T$58,0)-2=O$59)*(OR(RIGHT($C$9,1)+1=$L53,RIGHT($C$9,1)-1=$L53))+(MATCH(LEFT($C$9,1),$M$58:$T$58,0)+2=O$59)*(OR(RIGHT($C$9,1)+1=$L53,RIGHT($C$9,1)-1=$L53))=1,TRUE,FALSE)</f>
        <v>0</v>
      </c>
      <c r="P53" s="17" t="b">
        <f>IF((F18=$C$9)+(RIGHT($C$9,1)+2=$L53)*OR(MATCH(LEFT($C$9,1),$M$58:$T$58,0)-1=P$59,MATCH(LEFT($C$9,1),$M$58:$T$58,0)+1=P$59)+(RIGHT($C$9,1)-2=$L53)*OR(MATCH(LEFT($C$9,1),$M$58:$T$58,0)-1=P$59,MATCH(LEFT($C$9,1),$M$58:$T$58,0)+1=P$59)+(MATCH(LEFT($C$9,1),$M$58:$T$58,0)-2=P$59)*(OR(RIGHT($C$9,1)+1=$L53,RIGHT($C$9,1)-1=$L53))+(MATCH(LEFT($C$9,1),$M$58:$T$58,0)+2=P$59)*(OR(RIGHT($C$9,1)+1=$L53,RIGHT($C$9,1)-1=$L53))=1,TRUE,FALSE)</f>
        <v>1</v>
      </c>
      <c r="Q53" s="17" t="b">
        <f>IF((G18=$C$9)+(RIGHT($C$9,1)+2=$L53)*OR(MATCH(LEFT($C$9,1),$M$58:$T$58,0)-1=Q$59,MATCH(LEFT($C$9,1),$M$58:$T$58,0)+1=Q$59)+(RIGHT($C$9,1)-2=$L53)*OR(MATCH(LEFT($C$9,1),$M$58:$T$58,0)-1=Q$59,MATCH(LEFT($C$9,1),$M$58:$T$58,0)+1=Q$59)+(MATCH(LEFT($C$9,1),$M$58:$T$58,0)-2=Q$59)*(OR(RIGHT($C$9,1)+1=$L53,RIGHT($C$9,1)-1=$L53))+(MATCH(LEFT($C$9,1),$M$58:$T$58,0)+2=Q$59)*(OR(RIGHT($C$9,1)+1=$L53,RIGHT($C$9,1)-1=$L53))=1,TRUE,FALSE)</f>
        <v>0</v>
      </c>
      <c r="R53" s="17" t="b">
        <f>IF((H18=$C$9)+(RIGHT($C$9,1)+2=$L53)*OR(MATCH(LEFT($C$9,1),$M$58:$T$58,0)-1=R$59,MATCH(LEFT($C$9,1),$M$58:$T$58,0)+1=R$59)+(RIGHT($C$9,1)-2=$L53)*OR(MATCH(LEFT($C$9,1),$M$58:$T$58,0)-1=R$59,MATCH(LEFT($C$9,1),$M$58:$T$58,0)+1=R$59)+(MATCH(LEFT($C$9,1),$M$58:$T$58,0)-2=R$59)*(OR(RIGHT($C$9,1)+1=$L53,RIGHT($C$9,1)-1=$L53))+(MATCH(LEFT($C$9,1),$M$58:$T$58,0)+2=R$59)*(OR(RIGHT($C$9,1)+1=$L53,RIGHT($C$9,1)-1=$L53))=1,TRUE,FALSE)</f>
        <v>1</v>
      </c>
      <c r="S53" s="17" t="b">
        <f>IF((I18=$C$9)+(RIGHT($C$9,1)+2=$L53)*OR(MATCH(LEFT($C$9,1),$M$58:$T$58,0)-1=S$59,MATCH(LEFT($C$9,1),$M$58:$T$58,0)+1=S$59)+(RIGHT($C$9,1)-2=$L53)*OR(MATCH(LEFT($C$9,1),$M$58:$T$58,0)-1=S$59,MATCH(LEFT($C$9,1),$M$58:$T$58,0)+1=S$59)+(MATCH(LEFT($C$9,1),$M$58:$T$58,0)-2=S$59)*(OR(RIGHT($C$9,1)+1=$L53,RIGHT($C$9,1)-1=$L53))+(MATCH(LEFT($C$9,1),$M$58:$T$58,0)+2=S$59)*(OR(RIGHT($C$9,1)+1=$L53,RIGHT($C$9,1)-1=$L53))=1,TRUE,FALSE)</f>
        <v>0</v>
      </c>
      <c r="T53" s="17" t="b">
        <f>IF((J18=$C$9)+(RIGHT($C$9,1)+2=$L53)*OR(MATCH(LEFT($C$9,1),$M$58:$T$58,0)-1=T$59,MATCH(LEFT($C$9,1),$M$58:$T$58,0)+1=T$59)+(RIGHT($C$9,1)-2=$L53)*OR(MATCH(LEFT($C$9,1),$M$58:$T$58,0)-1=T$59,MATCH(LEFT($C$9,1),$M$58:$T$58,0)+1=T$59)+(MATCH(LEFT($C$9,1),$M$58:$T$58,0)-2=T$59)*(OR(RIGHT($C$9,1)+1=$L53,RIGHT($C$9,1)-1=$L53))+(MATCH(LEFT($C$9,1),$M$58:$T$58,0)+2=T$59)*(OR(RIGHT($C$9,1)+1=$L53,RIGHT($C$9,1)-1=$L53))=1,TRUE,FALSE)</f>
        <v>0</v>
      </c>
    </row>
    <row r="54" spans="2:20" ht="14.65" thickBot="1" x14ac:dyDescent="0.5">
      <c r="B54">
        <v>4</v>
      </c>
      <c r="C54" s="17" t="b">
        <f>OR(IF((C19=$C$9)+((ABS(MATCH(LEFT($C$9,1),$C$45:$J$45,0)-C$46))=(ABS(VALUE(RIGHT($C$9,1))-$B41)))&gt;=1,TRUE,FALSE),IF(((C19=$C$9)+(VALUE(RIGHT($C$9,1))=$B29)+(LEFT($C$9,1)=C$33))&gt;=1,TRUE,FALSE))</f>
        <v>0</v>
      </c>
      <c r="D54" s="17" t="b">
        <f>OR(IF((D19=$C$9)+((ABS(MATCH(LEFT($C$9,1),$C$45:$J$45,0)-D$46))=(ABS(VALUE(RIGHT($C$9,1))-$B41)))&gt;=1,TRUE,FALSE),IF(((D19=$C$9)+(VALUE(RIGHT($C$9,1))=$B29)+(LEFT($C$9,1)=D$33))&gt;=1,TRUE,FALSE))</f>
        <v>0</v>
      </c>
      <c r="E54" s="17" t="b">
        <f>OR(IF((E19=$C$9)+((ABS(MATCH(LEFT($C$9,1),$C$45:$J$45,0)-E$46))=(ABS(VALUE(RIGHT($C$9,1))-$B41)))&gt;=1,TRUE,FALSE),IF(((E19=$C$9)+(VALUE(RIGHT($C$9,1))=$B29)+(LEFT($C$9,1)=E$33))&gt;=1,TRUE,FALSE))</f>
        <v>0</v>
      </c>
      <c r="F54" s="17" t="b">
        <f>OR(IF((F19=$C$9)+((ABS(MATCH(LEFT($C$9,1),$C$45:$J$45,0)-F$46))=(ABS(VALUE(RIGHT($C$9,1))-$B41)))&gt;=1,TRUE,FALSE),IF(((F19=$C$9)+(VALUE(RIGHT($C$9,1))=$B29)+(LEFT($C$9,1)=F$33))&gt;=1,TRUE,FALSE))</f>
        <v>1</v>
      </c>
      <c r="G54" s="17" t="b">
        <f>OR(IF((G19=$C$9)+((ABS(MATCH(LEFT($C$9,1),$C$45:$J$45,0)-G$46))=(ABS(VALUE(RIGHT($C$9,1))-$B41)))&gt;=1,TRUE,FALSE),IF(((G19=$C$9)+(VALUE(RIGHT($C$9,1))=$B29)+(LEFT($C$9,1)=G$33))&gt;=1,TRUE,FALSE))</f>
        <v>1</v>
      </c>
      <c r="H54" s="17" t="b">
        <f>OR(IF((H19=$C$9)+((ABS(MATCH(LEFT($C$9,1),$C$45:$J$45,0)-H$46))=(ABS(VALUE(RIGHT($C$9,1))-$B41)))&gt;=1,TRUE,FALSE),IF(((H19=$C$9)+(VALUE(RIGHT($C$9,1))=$B29)+(LEFT($C$9,1)=H$33))&gt;=1,TRUE,FALSE))</f>
        <v>1</v>
      </c>
      <c r="I54" s="17" t="b">
        <f>OR(IF((I19=$C$9)+((ABS(MATCH(LEFT($C$9,1),$C$45:$J$45,0)-I$46))=(ABS(VALUE(RIGHT($C$9,1))-$B41)))&gt;=1,TRUE,FALSE),IF(((I19=$C$9)+(VALUE(RIGHT($C$9,1))=$B29)+(LEFT($C$9,1)=I$33))&gt;=1,TRUE,FALSE))</f>
        <v>0</v>
      </c>
      <c r="J54" s="25" t="b">
        <f>OR(IF((J19=$C$9)+((ABS(MATCH(LEFT($C$9,1),$C$45:$J$45,0)-J$46))=(ABS(VALUE(RIGHT($C$9,1))-$B41)))&gt;=1,TRUE,FALSE),IF(((J19=$C$9)+(VALUE(RIGHT($C$9,1))=$B29)+(LEFT($C$9,1)=J$33))&gt;=1,TRUE,FALSE))</f>
        <v>0</v>
      </c>
      <c r="L54">
        <v>4</v>
      </c>
      <c r="M54" s="17" t="b">
        <f>IF((C19=$C$9)+(RIGHT($C$9,1)+2=$L54)*OR(MATCH(LEFT($C$9,1),$M$58:$T$58,0)-1=M$59,MATCH(LEFT($C$9,1),$M$58:$T$58,0)+1=M$59)+(RIGHT($C$9,1)-2=$L54)*OR(MATCH(LEFT($C$9,1),$M$58:$T$58,0)-1=M$59,MATCH(LEFT($C$9,1),$M$58:$T$58,0)+1=M$59)+(MATCH(LEFT($C$9,1),$M$58:$T$58,0)-2=M$59)*(OR(RIGHT($C$9,1)+1=$L54,RIGHT($C$9,1)-1=$L54))+(MATCH(LEFT($C$9,1),$M$58:$T$58,0)+2=M$59)*(OR(RIGHT($C$9,1)+1=$L54,RIGHT($C$9,1)-1=$L54))=1,TRUE,FALSE)</f>
        <v>0</v>
      </c>
      <c r="N54" s="17" t="b">
        <f>IF((D19=$C$9)+(RIGHT($C$9,1)+2=$L54)*OR(MATCH(LEFT($C$9,1),$M$58:$T$58,0)-1=N$59,MATCH(LEFT($C$9,1),$M$58:$T$58,0)+1=N$59)+(RIGHT($C$9,1)-2=$L54)*OR(MATCH(LEFT($C$9,1),$M$58:$T$58,0)-1=N$59,MATCH(LEFT($C$9,1),$M$58:$T$58,0)+1=N$59)+(MATCH(LEFT($C$9,1),$M$58:$T$58,0)-2=N$59)*(OR(RIGHT($C$9,1)+1=$L54,RIGHT($C$9,1)-1=$L54))+(MATCH(LEFT($C$9,1),$M$58:$T$58,0)+2=N$59)*(OR(RIGHT($C$9,1)+1=$L54,RIGHT($C$9,1)-1=$L54))=1,TRUE,FALSE)</f>
        <v>0</v>
      </c>
      <c r="O54" s="17" t="b">
        <f>IF((E19=$C$9)+(RIGHT($C$9,1)+2=$L54)*OR(MATCH(LEFT($C$9,1),$M$58:$T$58,0)-1=O$59,MATCH(LEFT($C$9,1),$M$58:$T$58,0)+1=O$59)+(RIGHT($C$9,1)-2=$L54)*OR(MATCH(LEFT($C$9,1),$M$58:$T$58,0)-1=O$59,MATCH(LEFT($C$9,1),$M$58:$T$58,0)+1=O$59)+(MATCH(LEFT($C$9,1),$M$58:$T$58,0)-2=O$59)*(OR(RIGHT($C$9,1)+1=$L54,RIGHT($C$9,1)-1=$L54))+(MATCH(LEFT($C$9,1),$M$58:$T$58,0)+2=O$59)*(OR(RIGHT($C$9,1)+1=$L54,RIGHT($C$9,1)-1=$L54))=1,TRUE,FALSE)</f>
        <v>1</v>
      </c>
      <c r="P54" s="17" t="b">
        <f>IF((F19=$C$9)+(RIGHT($C$9,1)+2=$L54)*OR(MATCH(LEFT($C$9,1),$M$58:$T$58,0)-1=P$59,MATCH(LEFT($C$9,1),$M$58:$T$58,0)+1=P$59)+(RIGHT($C$9,1)-2=$L54)*OR(MATCH(LEFT($C$9,1),$M$58:$T$58,0)-1=P$59,MATCH(LEFT($C$9,1),$M$58:$T$58,0)+1=P$59)+(MATCH(LEFT($C$9,1),$M$58:$T$58,0)-2=P$59)*(OR(RIGHT($C$9,1)+1=$L54,RIGHT($C$9,1)-1=$L54))+(MATCH(LEFT($C$9,1),$M$58:$T$58,0)+2=P$59)*(OR(RIGHT($C$9,1)+1=$L54,RIGHT($C$9,1)-1=$L54))=1,TRUE,FALSE)</f>
        <v>0</v>
      </c>
      <c r="Q54" s="17" t="b">
        <f>IF((G19=$C$9)+(RIGHT($C$9,1)+2=$L54)*OR(MATCH(LEFT($C$9,1),$M$58:$T$58,0)-1=Q$59,MATCH(LEFT($C$9,1),$M$58:$T$58,0)+1=Q$59)+(RIGHT($C$9,1)-2=$L54)*OR(MATCH(LEFT($C$9,1),$M$58:$T$58,0)-1=Q$59,MATCH(LEFT($C$9,1),$M$58:$T$58,0)+1=Q$59)+(MATCH(LEFT($C$9,1),$M$58:$T$58,0)-2=Q$59)*(OR(RIGHT($C$9,1)+1=$L54,RIGHT($C$9,1)-1=$L54))+(MATCH(LEFT($C$9,1),$M$58:$T$58,0)+2=Q$59)*(OR(RIGHT($C$9,1)+1=$L54,RIGHT($C$9,1)-1=$L54))=1,TRUE,FALSE)</f>
        <v>0</v>
      </c>
      <c r="R54" s="17" t="b">
        <f>IF((H19=$C$9)+(RIGHT($C$9,1)+2=$L54)*OR(MATCH(LEFT($C$9,1),$M$58:$T$58,0)-1=R$59,MATCH(LEFT($C$9,1),$M$58:$T$58,0)+1=R$59)+(RIGHT($C$9,1)-2=$L54)*OR(MATCH(LEFT($C$9,1),$M$58:$T$58,0)-1=R$59,MATCH(LEFT($C$9,1),$M$58:$T$58,0)+1=R$59)+(MATCH(LEFT($C$9,1),$M$58:$T$58,0)-2=R$59)*(OR(RIGHT($C$9,1)+1=$L54,RIGHT($C$9,1)-1=$L54))+(MATCH(LEFT($C$9,1),$M$58:$T$58,0)+2=R$59)*(OR(RIGHT($C$9,1)+1=$L54,RIGHT($C$9,1)-1=$L54))=1,TRUE,FALSE)</f>
        <v>0</v>
      </c>
      <c r="S54" s="17" t="b">
        <f>IF((I19=$C$9)+(RIGHT($C$9,1)+2=$L54)*OR(MATCH(LEFT($C$9,1),$M$58:$T$58,0)-1=S$59,MATCH(LEFT($C$9,1),$M$58:$T$58,0)+1=S$59)+(RIGHT($C$9,1)-2=$L54)*OR(MATCH(LEFT($C$9,1),$M$58:$T$58,0)-1=S$59,MATCH(LEFT($C$9,1),$M$58:$T$58,0)+1=S$59)+(MATCH(LEFT($C$9,1),$M$58:$T$58,0)-2=S$59)*(OR(RIGHT($C$9,1)+1=$L54,RIGHT($C$9,1)-1=$L54))+(MATCH(LEFT($C$9,1),$M$58:$T$58,0)+2=S$59)*(OR(RIGHT($C$9,1)+1=$L54,RIGHT($C$9,1)-1=$L54))=1,TRUE,FALSE)</f>
        <v>1</v>
      </c>
      <c r="T54" s="17" t="b">
        <f>IF((J19=$C$9)+(RIGHT($C$9,1)+2=$L54)*OR(MATCH(LEFT($C$9,1),$M$58:$T$58,0)-1=T$59,MATCH(LEFT($C$9,1),$M$58:$T$58,0)+1=T$59)+(RIGHT($C$9,1)-2=$L54)*OR(MATCH(LEFT($C$9,1),$M$58:$T$58,0)-1=T$59,MATCH(LEFT($C$9,1),$M$58:$T$58,0)+1=T$59)+(MATCH(LEFT($C$9,1),$M$58:$T$58,0)-2=T$59)*(OR(RIGHT($C$9,1)+1=$L54,RIGHT($C$9,1)-1=$L54))+(MATCH(LEFT($C$9,1),$M$58:$T$58,0)+2=T$59)*(OR(RIGHT($C$9,1)+1=$L54,RIGHT($C$9,1)-1=$L54))=1,TRUE,FALSE)</f>
        <v>0</v>
      </c>
    </row>
    <row r="55" spans="2:20" ht="14.65" thickBot="1" x14ac:dyDescent="0.5">
      <c r="B55">
        <v>3</v>
      </c>
      <c r="C55" s="17" t="b">
        <f>OR(IF((C20=$C$9)+((ABS(MATCH(LEFT($C$9,1),$C$45:$J$45,0)-C$46))=(ABS(VALUE(RIGHT($C$9,1))-$B42)))&gt;=1,TRUE,FALSE),IF(((C20=$C$9)+(VALUE(RIGHT($C$9,1))=$B30)+(LEFT($C$9,1)=C$33))&gt;=1,TRUE,FALSE))</f>
        <v>1</v>
      </c>
      <c r="D55" s="17" t="b">
        <f>OR(IF((D20=$C$9)+((ABS(MATCH(LEFT($C$9,1),$C$45:$J$45,0)-D$46))=(ABS(VALUE(RIGHT($C$9,1))-$B42)))&gt;=1,TRUE,FALSE),IF(((D20=$C$9)+(VALUE(RIGHT($C$9,1))=$B30)+(LEFT($C$9,1)=D$33))&gt;=1,TRUE,FALSE))</f>
        <v>1</v>
      </c>
      <c r="E55" s="17" t="b">
        <f>OR(IF((E20=$C$9)+((ABS(MATCH(LEFT($C$9,1),$C$45:$J$45,0)-E$46))=(ABS(VALUE(RIGHT($C$9,1))-$B42)))&gt;=1,TRUE,FALSE),IF(((E20=$C$9)+(VALUE(RIGHT($C$9,1))=$B30)+(LEFT($C$9,1)=E$33))&gt;=1,TRUE,FALSE))</f>
        <v>1</v>
      </c>
      <c r="F55" s="17" t="b">
        <f>OR(IF((F20=$C$9)+((ABS(MATCH(LEFT($C$9,1),$C$45:$J$45,0)-F$46))=(ABS(VALUE(RIGHT($C$9,1))-$B42)))&gt;=1,TRUE,FALSE),IF(((F20=$C$9)+(VALUE(RIGHT($C$9,1))=$B30)+(LEFT($C$9,1)=F$33))&gt;=1,TRUE,FALSE))</f>
        <v>1</v>
      </c>
      <c r="G55" s="17" t="b">
        <f>OR(IF((G20=$C$9)+((ABS(MATCH(LEFT($C$9,1),$C$45:$J$45,0)-G$46))=(ABS(VALUE(RIGHT($C$9,1))-$B42)))&gt;=1,TRUE,FALSE),IF(((G20=$C$9)+(VALUE(RIGHT($C$9,1))=$B30)+(LEFT($C$9,1)=G$33))&gt;=1,TRUE,FALSE))</f>
        <v>1</v>
      </c>
      <c r="H55" s="17" t="b">
        <f>OR(IF((H20=$C$9)+((ABS(MATCH(LEFT($C$9,1),$C$45:$J$45,0)-H$46))=(ABS(VALUE(RIGHT($C$9,1))-$B42)))&gt;=1,TRUE,FALSE),IF(((H20=$C$9)+(VALUE(RIGHT($C$9,1))=$B30)+(LEFT($C$9,1)=H$33))&gt;=1,TRUE,FALSE))</f>
        <v>1</v>
      </c>
      <c r="I55" s="17" t="b">
        <f>OR(IF((I20=$C$9)+((ABS(MATCH(LEFT($C$9,1),$C$45:$J$45,0)-I$46))=(ABS(VALUE(RIGHT($C$9,1))-$B42)))&gt;=1,TRUE,FALSE),IF(((I20=$C$9)+(VALUE(RIGHT($C$9,1))=$B30)+(LEFT($C$9,1)=I$33))&gt;=1,TRUE,FALSE))</f>
        <v>1</v>
      </c>
      <c r="J55" s="25" t="b">
        <f>OR(IF((J20=$C$9)+((ABS(MATCH(LEFT($C$9,1),$C$45:$J$45,0)-J$46))=(ABS(VALUE(RIGHT($C$9,1))-$B42)))&gt;=1,TRUE,FALSE),IF(((J20=$C$9)+(VALUE(RIGHT($C$9,1))=$B30)+(LEFT($C$9,1)=J$33))&gt;=1,TRUE,FALSE))</f>
        <v>1</v>
      </c>
      <c r="L55">
        <v>3</v>
      </c>
      <c r="M55" s="17" t="b">
        <f>IF((C20=$C$9)+(RIGHT($C$9,1)+2=$L55)*OR(MATCH(LEFT($C$9,1),$M$58:$T$58,0)-1=M$59,MATCH(LEFT($C$9,1),$M$58:$T$58,0)+1=M$59)+(RIGHT($C$9,1)-2=$L55)*OR(MATCH(LEFT($C$9,1),$M$58:$T$58,0)-1=M$59,MATCH(LEFT($C$9,1),$M$58:$T$58,0)+1=M$59)+(MATCH(LEFT($C$9,1),$M$58:$T$58,0)-2=M$59)*(OR(RIGHT($C$9,1)+1=$L55,RIGHT($C$9,1)-1=$L55))+(MATCH(LEFT($C$9,1),$M$58:$T$58,0)+2=M$59)*(OR(RIGHT($C$9,1)+1=$L55,RIGHT($C$9,1)-1=$L55))=1,TRUE,FALSE)</f>
        <v>0</v>
      </c>
      <c r="N55" s="17" t="b">
        <f>IF((D20=$C$9)+(RIGHT($C$9,1)+2=$L55)*OR(MATCH(LEFT($C$9,1),$M$58:$T$58,0)-1=N$59,MATCH(LEFT($C$9,1),$M$58:$T$58,0)+1=N$59)+(RIGHT($C$9,1)-2=$L55)*OR(MATCH(LEFT($C$9,1),$M$58:$T$58,0)-1=N$59,MATCH(LEFT($C$9,1),$M$58:$T$58,0)+1=N$59)+(MATCH(LEFT($C$9,1),$M$58:$T$58,0)-2=N$59)*(OR(RIGHT($C$9,1)+1=$L55,RIGHT($C$9,1)-1=$L55))+(MATCH(LEFT($C$9,1),$M$58:$T$58,0)+2=N$59)*(OR(RIGHT($C$9,1)+1=$L55,RIGHT($C$9,1)-1=$L55))=1,TRUE,FALSE)</f>
        <v>0</v>
      </c>
      <c r="O55" s="17" t="b">
        <f>IF((E20=$C$9)+(RIGHT($C$9,1)+2=$L55)*OR(MATCH(LEFT($C$9,1),$M$58:$T$58,0)-1=O$59,MATCH(LEFT($C$9,1),$M$58:$T$58,0)+1=O$59)+(RIGHT($C$9,1)-2=$L55)*OR(MATCH(LEFT($C$9,1),$M$58:$T$58,0)-1=O$59,MATCH(LEFT($C$9,1),$M$58:$T$58,0)+1=O$59)+(MATCH(LEFT($C$9,1),$M$58:$T$58,0)-2=O$59)*(OR(RIGHT($C$9,1)+1=$L55,RIGHT($C$9,1)-1=$L55))+(MATCH(LEFT($C$9,1),$M$58:$T$58,0)+2=O$59)*(OR(RIGHT($C$9,1)+1=$L55,RIGHT($C$9,1)-1=$L55))=1,TRUE,FALSE)</f>
        <v>0</v>
      </c>
      <c r="P55" s="17" t="b">
        <f>IF((F20=$C$9)+(RIGHT($C$9,1)+2=$L55)*OR(MATCH(LEFT($C$9,1),$M$58:$T$58,0)-1=P$59,MATCH(LEFT($C$9,1),$M$58:$T$58,0)+1=P$59)+(RIGHT($C$9,1)-2=$L55)*OR(MATCH(LEFT($C$9,1),$M$58:$T$58,0)-1=P$59,MATCH(LEFT($C$9,1),$M$58:$T$58,0)+1=P$59)+(MATCH(LEFT($C$9,1),$M$58:$T$58,0)-2=P$59)*(OR(RIGHT($C$9,1)+1=$L55,RIGHT($C$9,1)-1=$L55))+(MATCH(LEFT($C$9,1),$M$58:$T$58,0)+2=P$59)*(OR(RIGHT($C$9,1)+1=$L55,RIGHT($C$9,1)-1=$L55))=1,TRUE,FALSE)</f>
        <v>0</v>
      </c>
      <c r="Q55" s="17" t="b">
        <f>IF((G20=$C$9)+(RIGHT($C$9,1)+2=$L55)*OR(MATCH(LEFT($C$9,1),$M$58:$T$58,0)-1=Q$59,MATCH(LEFT($C$9,1),$M$58:$T$58,0)+1=Q$59)+(RIGHT($C$9,1)-2=$L55)*OR(MATCH(LEFT($C$9,1),$M$58:$T$58,0)-1=Q$59,MATCH(LEFT($C$9,1),$M$58:$T$58,0)+1=Q$59)+(MATCH(LEFT($C$9,1),$M$58:$T$58,0)-2=Q$59)*(OR(RIGHT($C$9,1)+1=$L55,RIGHT($C$9,1)-1=$L55))+(MATCH(LEFT($C$9,1),$M$58:$T$58,0)+2=Q$59)*(OR(RIGHT($C$9,1)+1=$L55,RIGHT($C$9,1)-1=$L55))=1,TRUE,FALSE)</f>
        <v>1</v>
      </c>
      <c r="R55" s="17" t="b">
        <f>IF((H20=$C$9)+(RIGHT($C$9,1)+2=$L55)*OR(MATCH(LEFT($C$9,1),$M$58:$T$58,0)-1=R$59,MATCH(LEFT($C$9,1),$M$58:$T$58,0)+1=R$59)+(RIGHT($C$9,1)-2=$L55)*OR(MATCH(LEFT($C$9,1),$M$58:$T$58,0)-1=R$59,MATCH(LEFT($C$9,1),$M$58:$T$58,0)+1=R$59)+(MATCH(LEFT($C$9,1),$M$58:$T$58,0)-2=R$59)*(OR(RIGHT($C$9,1)+1=$L55,RIGHT($C$9,1)-1=$L55))+(MATCH(LEFT($C$9,1),$M$58:$T$58,0)+2=R$59)*(OR(RIGHT($C$9,1)+1=$L55,RIGHT($C$9,1)-1=$L55))=1,TRUE,FALSE)</f>
        <v>0</v>
      </c>
      <c r="S55" s="17" t="b">
        <f>IF((I20=$C$9)+(RIGHT($C$9,1)+2=$L55)*OR(MATCH(LEFT($C$9,1),$M$58:$T$58,0)-1=S$59,MATCH(LEFT($C$9,1),$M$58:$T$58,0)+1=S$59)+(RIGHT($C$9,1)-2=$L55)*OR(MATCH(LEFT($C$9,1),$M$58:$T$58,0)-1=S$59,MATCH(LEFT($C$9,1),$M$58:$T$58,0)+1=S$59)+(MATCH(LEFT($C$9,1),$M$58:$T$58,0)-2=S$59)*(OR(RIGHT($C$9,1)+1=$L55,RIGHT($C$9,1)-1=$L55))+(MATCH(LEFT($C$9,1),$M$58:$T$58,0)+2=S$59)*(OR(RIGHT($C$9,1)+1=$L55,RIGHT($C$9,1)-1=$L55))=1,TRUE,FALSE)</f>
        <v>0</v>
      </c>
      <c r="T55" s="17" t="b">
        <f>IF((J20=$C$9)+(RIGHT($C$9,1)+2=$L55)*OR(MATCH(LEFT($C$9,1),$M$58:$T$58,0)-1=T$59,MATCH(LEFT($C$9,1),$M$58:$T$58,0)+1=T$59)+(RIGHT($C$9,1)-2=$L55)*OR(MATCH(LEFT($C$9,1),$M$58:$T$58,0)-1=T$59,MATCH(LEFT($C$9,1),$M$58:$T$58,0)+1=T$59)+(MATCH(LEFT($C$9,1),$M$58:$T$58,0)-2=T$59)*(OR(RIGHT($C$9,1)+1=$L55,RIGHT($C$9,1)-1=$L55))+(MATCH(LEFT($C$9,1),$M$58:$T$58,0)+2=T$59)*(OR(RIGHT($C$9,1)+1=$L55,RIGHT($C$9,1)-1=$L55))=1,TRUE,FALSE)</f>
        <v>0</v>
      </c>
    </row>
    <row r="56" spans="2:20" ht="14.65" thickBot="1" x14ac:dyDescent="0.5">
      <c r="B56">
        <v>2</v>
      </c>
      <c r="C56" s="17" t="b">
        <f>OR(IF((C21=$C$9)+((ABS(MATCH(LEFT($C$9,1),$C$45:$J$45,0)-C$46))=(ABS(VALUE(RIGHT($C$9,1))-$B43)))&gt;=1,TRUE,FALSE),IF(((C21=$C$9)+(VALUE(RIGHT($C$9,1))=$B31)+(LEFT($C$9,1)=C$33))&gt;=1,TRUE,FALSE))</f>
        <v>0</v>
      </c>
      <c r="D56" s="17" t="b">
        <f>OR(IF((D21=$C$9)+((ABS(MATCH(LEFT($C$9,1),$C$45:$J$45,0)-D$46))=(ABS(VALUE(RIGHT($C$9,1))-$B43)))&gt;=1,TRUE,FALSE),IF(((D21=$C$9)+(VALUE(RIGHT($C$9,1))=$B31)+(LEFT($C$9,1)=D$33))&gt;=1,TRUE,FALSE))</f>
        <v>0</v>
      </c>
      <c r="E56" s="17" t="b">
        <f>OR(IF((E21=$C$9)+((ABS(MATCH(LEFT($C$9,1),$C$45:$J$45,0)-E$46))=(ABS(VALUE(RIGHT($C$9,1))-$B43)))&gt;=1,TRUE,FALSE),IF(((E21=$C$9)+(VALUE(RIGHT($C$9,1))=$B31)+(LEFT($C$9,1)=E$33))&gt;=1,TRUE,FALSE))</f>
        <v>0</v>
      </c>
      <c r="F56" s="17" t="b">
        <f>OR(IF((F21=$C$9)+((ABS(MATCH(LEFT($C$9,1),$C$45:$J$45,0)-F$46))=(ABS(VALUE(RIGHT($C$9,1))-$B43)))&gt;=1,TRUE,FALSE),IF(((F21=$C$9)+(VALUE(RIGHT($C$9,1))=$B31)+(LEFT($C$9,1)=F$33))&gt;=1,TRUE,FALSE))</f>
        <v>1</v>
      </c>
      <c r="G56" s="17" t="b">
        <f>OR(IF((G21=$C$9)+((ABS(MATCH(LEFT($C$9,1),$C$45:$J$45,0)-G$46))=(ABS(VALUE(RIGHT($C$9,1))-$B43)))&gt;=1,TRUE,FALSE),IF(((G21=$C$9)+(VALUE(RIGHT($C$9,1))=$B31)+(LEFT($C$9,1)=G$33))&gt;=1,TRUE,FALSE))</f>
        <v>1</v>
      </c>
      <c r="H56" s="17" t="b">
        <f>OR(IF((H21=$C$9)+((ABS(MATCH(LEFT($C$9,1),$C$45:$J$45,0)-H$46))=(ABS(VALUE(RIGHT($C$9,1))-$B43)))&gt;=1,TRUE,FALSE),IF(((H21=$C$9)+(VALUE(RIGHT($C$9,1))=$B31)+(LEFT($C$9,1)=H$33))&gt;=1,TRUE,FALSE))</f>
        <v>1</v>
      </c>
      <c r="I56" s="17" t="b">
        <f>OR(IF((I21=$C$9)+((ABS(MATCH(LEFT($C$9,1),$C$45:$J$45,0)-I$46))=(ABS(VALUE(RIGHT($C$9,1))-$B43)))&gt;=1,TRUE,FALSE),IF(((I21=$C$9)+(VALUE(RIGHT($C$9,1))=$B31)+(LEFT($C$9,1)=I$33))&gt;=1,TRUE,FALSE))</f>
        <v>0</v>
      </c>
      <c r="J56" s="25" t="b">
        <f>OR(IF((J21=$C$9)+((ABS(MATCH(LEFT($C$9,1),$C$45:$J$45,0)-J$46))=(ABS(VALUE(RIGHT($C$9,1))-$B43)))&gt;=1,TRUE,FALSE),IF(((J21=$C$9)+(VALUE(RIGHT($C$9,1))=$B31)+(LEFT($C$9,1)=J$33))&gt;=1,TRUE,FALSE))</f>
        <v>0</v>
      </c>
      <c r="L56">
        <v>2</v>
      </c>
      <c r="M56" s="17" t="b">
        <f>IF((C21=$C$9)+(RIGHT($C$9,1)+2=$L56)*OR(MATCH(LEFT($C$9,1),$M$58:$T$58,0)-1=M$59,MATCH(LEFT($C$9,1),$M$58:$T$58,0)+1=M$59)+(RIGHT($C$9,1)-2=$L56)*OR(MATCH(LEFT($C$9,1),$M$58:$T$58,0)-1=M$59,MATCH(LEFT($C$9,1),$M$58:$T$58,0)+1=M$59)+(MATCH(LEFT($C$9,1),$M$58:$T$58,0)-2=M$59)*(OR(RIGHT($C$9,1)+1=$L56,RIGHT($C$9,1)-1=$L56))+(MATCH(LEFT($C$9,1),$M$58:$T$58,0)+2=M$59)*(OR(RIGHT($C$9,1)+1=$L56,RIGHT($C$9,1)-1=$L56))=1,TRUE,FALSE)</f>
        <v>0</v>
      </c>
      <c r="N56" s="17" t="b">
        <f>IF((D21=$C$9)+(RIGHT($C$9,1)+2=$L56)*OR(MATCH(LEFT($C$9,1),$M$58:$T$58,0)-1=N$59,MATCH(LEFT($C$9,1),$M$58:$T$58,0)+1=N$59)+(RIGHT($C$9,1)-2=$L56)*OR(MATCH(LEFT($C$9,1),$M$58:$T$58,0)-1=N$59,MATCH(LEFT($C$9,1),$M$58:$T$58,0)+1=N$59)+(MATCH(LEFT($C$9,1),$M$58:$T$58,0)-2=N$59)*(OR(RIGHT($C$9,1)+1=$L56,RIGHT($C$9,1)-1=$L56))+(MATCH(LEFT($C$9,1),$M$58:$T$58,0)+2=N$59)*(OR(RIGHT($C$9,1)+1=$L56,RIGHT($C$9,1)-1=$L56))=1,TRUE,FALSE)</f>
        <v>0</v>
      </c>
      <c r="O56" s="17" t="b">
        <f>IF((E21=$C$9)+(RIGHT($C$9,1)+2=$L56)*OR(MATCH(LEFT($C$9,1),$M$58:$T$58,0)-1=O$59,MATCH(LEFT($C$9,1),$M$58:$T$58,0)+1=O$59)+(RIGHT($C$9,1)-2=$L56)*OR(MATCH(LEFT($C$9,1),$M$58:$T$58,0)-1=O$59,MATCH(LEFT($C$9,1),$M$58:$T$58,0)+1=O$59)+(MATCH(LEFT($C$9,1),$M$58:$T$58,0)-2=O$59)*(OR(RIGHT($C$9,1)+1=$L56,RIGHT($C$9,1)-1=$L56))+(MATCH(LEFT($C$9,1),$M$58:$T$58,0)+2=O$59)*(OR(RIGHT($C$9,1)+1=$L56,RIGHT($C$9,1)-1=$L56))=1,TRUE,FALSE)</f>
        <v>1</v>
      </c>
      <c r="P56" s="17" t="b">
        <f>IF((F21=$C$9)+(RIGHT($C$9,1)+2=$L56)*OR(MATCH(LEFT($C$9,1),$M$58:$T$58,0)-1=P$59,MATCH(LEFT($C$9,1),$M$58:$T$58,0)+1=P$59)+(RIGHT($C$9,1)-2=$L56)*OR(MATCH(LEFT($C$9,1),$M$58:$T$58,0)-1=P$59,MATCH(LEFT($C$9,1),$M$58:$T$58,0)+1=P$59)+(MATCH(LEFT($C$9,1),$M$58:$T$58,0)-2=P$59)*(OR(RIGHT($C$9,1)+1=$L56,RIGHT($C$9,1)-1=$L56))+(MATCH(LEFT($C$9,1),$M$58:$T$58,0)+2=P$59)*(OR(RIGHT($C$9,1)+1=$L56,RIGHT($C$9,1)-1=$L56))=1,TRUE,FALSE)</f>
        <v>0</v>
      </c>
      <c r="Q56" s="17" t="b">
        <f>IF((G21=$C$9)+(RIGHT($C$9,1)+2=$L56)*OR(MATCH(LEFT($C$9,1),$M$58:$T$58,0)-1=Q$59,MATCH(LEFT($C$9,1),$M$58:$T$58,0)+1=Q$59)+(RIGHT($C$9,1)-2=$L56)*OR(MATCH(LEFT($C$9,1),$M$58:$T$58,0)-1=Q$59,MATCH(LEFT($C$9,1),$M$58:$T$58,0)+1=Q$59)+(MATCH(LEFT($C$9,1),$M$58:$T$58,0)-2=Q$59)*(OR(RIGHT($C$9,1)+1=$L56,RIGHT($C$9,1)-1=$L56))+(MATCH(LEFT($C$9,1),$M$58:$T$58,0)+2=Q$59)*(OR(RIGHT($C$9,1)+1=$L56,RIGHT($C$9,1)-1=$L56))=1,TRUE,FALSE)</f>
        <v>0</v>
      </c>
      <c r="R56" s="17" t="b">
        <f>IF((H21=$C$9)+(RIGHT($C$9,1)+2=$L56)*OR(MATCH(LEFT($C$9,1),$M$58:$T$58,0)-1=R$59,MATCH(LEFT($C$9,1),$M$58:$T$58,0)+1=R$59)+(RIGHT($C$9,1)-2=$L56)*OR(MATCH(LEFT($C$9,1),$M$58:$T$58,0)-1=R$59,MATCH(LEFT($C$9,1),$M$58:$T$58,0)+1=R$59)+(MATCH(LEFT($C$9,1),$M$58:$T$58,0)-2=R$59)*(OR(RIGHT($C$9,1)+1=$L56,RIGHT($C$9,1)-1=$L56))+(MATCH(LEFT($C$9,1),$M$58:$T$58,0)+2=R$59)*(OR(RIGHT($C$9,1)+1=$L56,RIGHT($C$9,1)-1=$L56))=1,TRUE,FALSE)</f>
        <v>0</v>
      </c>
      <c r="S56" s="17" t="b">
        <f>IF((I21=$C$9)+(RIGHT($C$9,1)+2=$L56)*OR(MATCH(LEFT($C$9,1),$M$58:$T$58,0)-1=S$59,MATCH(LEFT($C$9,1),$M$58:$T$58,0)+1=S$59)+(RIGHT($C$9,1)-2=$L56)*OR(MATCH(LEFT($C$9,1),$M$58:$T$58,0)-1=S$59,MATCH(LEFT($C$9,1),$M$58:$T$58,0)+1=S$59)+(MATCH(LEFT($C$9,1),$M$58:$T$58,0)-2=S$59)*(OR(RIGHT($C$9,1)+1=$L56,RIGHT($C$9,1)-1=$L56))+(MATCH(LEFT($C$9,1),$M$58:$T$58,0)+2=S$59)*(OR(RIGHT($C$9,1)+1=$L56,RIGHT($C$9,1)-1=$L56))=1,TRUE,FALSE)</f>
        <v>1</v>
      </c>
      <c r="T56" s="17" t="b">
        <f>IF((J21=$C$9)+(RIGHT($C$9,1)+2=$L56)*OR(MATCH(LEFT($C$9,1),$M$58:$T$58,0)-1=T$59,MATCH(LEFT($C$9,1),$M$58:$T$58,0)+1=T$59)+(RIGHT($C$9,1)-2=$L56)*OR(MATCH(LEFT($C$9,1),$M$58:$T$58,0)-1=T$59,MATCH(LEFT($C$9,1),$M$58:$T$58,0)+1=T$59)+(MATCH(LEFT($C$9,1),$M$58:$T$58,0)-2=T$59)*(OR(RIGHT($C$9,1)+1=$L56,RIGHT($C$9,1)-1=$L56))+(MATCH(LEFT($C$9,1),$M$58:$T$58,0)+2=T$59)*(OR(RIGHT($C$9,1)+1=$L56,RIGHT($C$9,1)-1=$L56))=1,TRUE,FALSE)</f>
        <v>0</v>
      </c>
    </row>
    <row r="57" spans="2:20" ht="14.65" thickBot="1" x14ac:dyDescent="0.5">
      <c r="B57">
        <v>1</v>
      </c>
      <c r="C57" s="26" t="b">
        <f>OR(IF((C22=$C$9)+((ABS(MATCH(LEFT($C$9,1),$C$45:$J$45,0)-C$46))=(ABS(VALUE(RIGHT($C$9,1))-$B44)))&gt;=1,TRUE,FALSE),IF(((C22=$C$9)+(VALUE(RIGHT($C$9,1))=$B32)+(LEFT($C$9,1)=C$33))&gt;=1,TRUE,FALSE))</f>
        <v>0</v>
      </c>
      <c r="D57" s="26" t="b">
        <f>OR(IF((D22=$C$9)+((ABS(MATCH(LEFT($C$9,1),$C$45:$J$45,0)-D$46))=(ABS(VALUE(RIGHT($C$9,1))-$B44)))&gt;=1,TRUE,FALSE),IF(((D22=$C$9)+(VALUE(RIGHT($C$9,1))=$B32)+(LEFT($C$9,1)=D$33))&gt;=1,TRUE,FALSE))</f>
        <v>0</v>
      </c>
      <c r="E57" s="26" t="b">
        <f>OR(IF((E22=$C$9)+((ABS(MATCH(LEFT($C$9,1),$C$45:$J$45,0)-E$46))=(ABS(VALUE(RIGHT($C$9,1))-$B44)))&gt;=1,TRUE,FALSE),IF(((E22=$C$9)+(VALUE(RIGHT($C$9,1))=$B32)+(LEFT($C$9,1)=E$33))&gt;=1,TRUE,FALSE))</f>
        <v>1</v>
      </c>
      <c r="F57" s="26" t="b">
        <f>OR(IF((F22=$C$9)+((ABS(MATCH(LEFT($C$9,1),$C$45:$J$45,0)-F$46))=(ABS(VALUE(RIGHT($C$9,1))-$B44)))&gt;=1,TRUE,FALSE),IF(((F22=$C$9)+(VALUE(RIGHT($C$9,1))=$B32)+(LEFT($C$9,1)=F$33))&gt;=1,TRUE,FALSE))</f>
        <v>0</v>
      </c>
      <c r="G57" s="26" t="b">
        <f>OR(IF((G22=$C$9)+((ABS(MATCH(LEFT($C$9,1),$C$45:$J$45,0)-G$46))=(ABS(VALUE(RIGHT($C$9,1))-$B44)))&gt;=1,TRUE,FALSE),IF(((G22=$C$9)+(VALUE(RIGHT($C$9,1))=$B32)+(LEFT($C$9,1)=G$33))&gt;=1,TRUE,FALSE))</f>
        <v>1</v>
      </c>
      <c r="H57" s="26" t="b">
        <f>OR(IF((H22=$C$9)+((ABS(MATCH(LEFT($C$9,1),$C$45:$J$45,0)-H$46))=(ABS(VALUE(RIGHT($C$9,1))-$B44)))&gt;=1,TRUE,FALSE),IF(((H22=$C$9)+(VALUE(RIGHT($C$9,1))=$B32)+(LEFT($C$9,1)=H$33))&gt;=1,TRUE,FALSE))</f>
        <v>0</v>
      </c>
      <c r="I57" s="26" t="b">
        <f>OR(IF((I22=$C$9)+((ABS(MATCH(LEFT($C$9,1),$C$45:$J$45,0)-I$46))=(ABS(VALUE(RIGHT($C$9,1))-$B44)))&gt;=1,TRUE,FALSE),IF(((I22=$C$9)+(VALUE(RIGHT($C$9,1))=$B32)+(LEFT($C$9,1)=I$33))&gt;=1,TRUE,FALSE))</f>
        <v>1</v>
      </c>
      <c r="J57" s="27" t="b">
        <f>OR(IF((J22=$C$9)+((ABS(MATCH(LEFT($C$9,1),$C$45:$J$45,0)-J$46))=(ABS(VALUE(RIGHT($C$9,1))-$B44)))&gt;=1,TRUE,FALSE),IF(((J22=$C$9)+(VALUE(RIGHT($C$9,1))=$B32)+(LEFT($C$9,1)=J$33))&gt;=1,TRUE,FALSE))</f>
        <v>0</v>
      </c>
      <c r="L57">
        <v>1</v>
      </c>
      <c r="M57" s="17" t="b">
        <f>IF((C22=$C$9)+(RIGHT($C$9,1)+2=$L57)*OR(MATCH(LEFT($C$9,1),$M$58:$T$58,0)-1=M$59,MATCH(LEFT($C$9,1),$M$58:$T$58,0)+1=M$59)+(RIGHT($C$9,1)-2=$L57)*OR(MATCH(LEFT($C$9,1),$M$58:$T$58,0)-1=M$59,MATCH(LEFT($C$9,1),$M$58:$T$58,0)+1=M$59)+(MATCH(LEFT($C$9,1),$M$58:$T$58,0)-2=M$59)*(OR(RIGHT($C$9,1)+1=$L57,RIGHT($C$9,1)-1=$L57))+(MATCH(LEFT($C$9,1),$M$58:$T$58,0)+2=M$59)*(OR(RIGHT($C$9,1)+1=$L57,RIGHT($C$9,1)-1=$L57))=1,TRUE,FALSE)</f>
        <v>0</v>
      </c>
      <c r="N57" s="17" t="b">
        <f>IF((D22=$C$9)+(RIGHT($C$9,1)+2=$L57)*OR(MATCH(LEFT($C$9,1),$M$58:$T$58,0)-1=N$59,MATCH(LEFT($C$9,1),$M$58:$T$58,0)+1=N$59)+(RIGHT($C$9,1)-2=$L57)*OR(MATCH(LEFT($C$9,1),$M$58:$T$58,0)-1=N$59,MATCH(LEFT($C$9,1),$M$58:$T$58,0)+1=N$59)+(MATCH(LEFT($C$9,1),$M$58:$T$58,0)-2=N$59)*(OR(RIGHT($C$9,1)+1=$L57,RIGHT($C$9,1)-1=$L57))+(MATCH(LEFT($C$9,1),$M$58:$T$58,0)+2=N$59)*(OR(RIGHT($C$9,1)+1=$L57,RIGHT($C$9,1)-1=$L57))=1,TRUE,FALSE)</f>
        <v>0</v>
      </c>
      <c r="O57" s="17" t="b">
        <f>IF((E22=$C$9)+(RIGHT($C$9,1)+2=$L57)*OR(MATCH(LEFT($C$9,1),$M$58:$T$58,0)-1=O$59,MATCH(LEFT($C$9,1),$M$58:$T$58,0)+1=O$59)+(RIGHT($C$9,1)-2=$L57)*OR(MATCH(LEFT($C$9,1),$M$58:$T$58,0)-1=O$59,MATCH(LEFT($C$9,1),$M$58:$T$58,0)+1=O$59)+(MATCH(LEFT($C$9,1),$M$58:$T$58,0)-2=O$59)*(OR(RIGHT($C$9,1)+1=$L57,RIGHT($C$9,1)-1=$L57))+(MATCH(LEFT($C$9,1),$M$58:$T$58,0)+2=O$59)*(OR(RIGHT($C$9,1)+1=$L57,RIGHT($C$9,1)-1=$L57))=1,TRUE,FALSE)</f>
        <v>0</v>
      </c>
      <c r="P57" s="17" t="b">
        <f>IF((F22=$C$9)+(RIGHT($C$9,1)+2=$L57)*OR(MATCH(LEFT($C$9,1),$M$58:$T$58,0)-1=P$59,MATCH(LEFT($C$9,1),$M$58:$T$58,0)+1=P$59)+(RIGHT($C$9,1)-2=$L57)*OR(MATCH(LEFT($C$9,1),$M$58:$T$58,0)-1=P$59,MATCH(LEFT($C$9,1),$M$58:$T$58,0)+1=P$59)+(MATCH(LEFT($C$9,1),$M$58:$T$58,0)-2=P$59)*(OR(RIGHT($C$9,1)+1=$L57,RIGHT($C$9,1)-1=$L57))+(MATCH(LEFT($C$9,1),$M$58:$T$58,0)+2=P$59)*(OR(RIGHT($C$9,1)+1=$L57,RIGHT($C$9,1)-1=$L57))=1,TRUE,FALSE)</f>
        <v>1</v>
      </c>
      <c r="Q57" s="17" t="b">
        <f>IF((G22=$C$9)+(RIGHT($C$9,1)+2=$L57)*OR(MATCH(LEFT($C$9,1),$M$58:$T$58,0)-1=Q$59,MATCH(LEFT($C$9,1),$M$58:$T$58,0)+1=Q$59)+(RIGHT($C$9,1)-2=$L57)*OR(MATCH(LEFT($C$9,1),$M$58:$T$58,0)-1=Q$59,MATCH(LEFT($C$9,1),$M$58:$T$58,0)+1=Q$59)+(MATCH(LEFT($C$9,1),$M$58:$T$58,0)-2=Q$59)*(OR(RIGHT($C$9,1)+1=$L57,RIGHT($C$9,1)-1=$L57))+(MATCH(LEFT($C$9,1),$M$58:$T$58,0)+2=Q$59)*(OR(RIGHT($C$9,1)+1=$L57,RIGHT($C$9,1)-1=$L57))=1,TRUE,FALSE)</f>
        <v>0</v>
      </c>
      <c r="R57" s="17" t="b">
        <f>IF((H22=$C$9)+(RIGHT($C$9,1)+2=$L57)*OR(MATCH(LEFT($C$9,1),$M$58:$T$58,0)-1=R$59,MATCH(LEFT($C$9,1),$M$58:$T$58,0)+1=R$59)+(RIGHT($C$9,1)-2=$L57)*OR(MATCH(LEFT($C$9,1),$M$58:$T$58,0)-1=R$59,MATCH(LEFT($C$9,1),$M$58:$T$58,0)+1=R$59)+(MATCH(LEFT($C$9,1),$M$58:$T$58,0)-2=R$59)*(OR(RIGHT($C$9,1)+1=$L57,RIGHT($C$9,1)-1=$L57))+(MATCH(LEFT($C$9,1),$M$58:$T$58,0)+2=R$59)*(OR(RIGHT($C$9,1)+1=$L57,RIGHT($C$9,1)-1=$L57))=1,TRUE,FALSE)</f>
        <v>1</v>
      </c>
      <c r="S57" s="17" t="b">
        <f>IF((I22=$C$9)+(RIGHT($C$9,1)+2=$L57)*OR(MATCH(LEFT($C$9,1),$M$58:$T$58,0)-1=S$59,MATCH(LEFT($C$9,1),$M$58:$T$58,0)+1=S$59)+(RIGHT($C$9,1)-2=$L57)*OR(MATCH(LEFT($C$9,1),$M$58:$T$58,0)-1=S$59,MATCH(LEFT($C$9,1),$M$58:$T$58,0)+1=S$59)+(MATCH(LEFT($C$9,1),$M$58:$T$58,0)-2=S$59)*(OR(RIGHT($C$9,1)+1=$L57,RIGHT($C$9,1)-1=$L57))+(MATCH(LEFT($C$9,1),$M$58:$T$58,0)+2=S$59)*(OR(RIGHT($C$9,1)+1=$L57,RIGHT($C$9,1)-1=$L57))=1,TRUE,FALSE)</f>
        <v>0</v>
      </c>
      <c r="T57" s="17" t="b">
        <f>IF((J22=$C$9)+(RIGHT($C$9,1)+2=$L57)*OR(MATCH(LEFT($C$9,1),$M$58:$T$58,0)-1=T$59,MATCH(LEFT($C$9,1),$M$58:$T$58,0)+1=T$59)+(RIGHT($C$9,1)-2=$L57)*OR(MATCH(LEFT($C$9,1),$M$58:$T$58,0)-1=T$59,MATCH(LEFT($C$9,1),$M$58:$T$58,0)+1=T$59)+(MATCH(LEFT($C$9,1),$M$58:$T$58,0)-2=T$59)*(OR(RIGHT($C$9,1)+1=$L57,RIGHT($C$9,1)-1=$L57))+(MATCH(LEFT($C$9,1),$M$58:$T$58,0)+2=T$59)*(OR(RIGHT($C$9,1)+1=$L57,RIGHT($C$9,1)-1=$L57))=1,TRUE,FALSE)</f>
        <v>0</v>
      </c>
    </row>
    <row r="58" spans="2:20" x14ac:dyDescent="0.45">
      <c r="C58" s="7" t="s">
        <v>7</v>
      </c>
      <c r="D58" s="7" t="s">
        <v>8</v>
      </c>
      <c r="E58" s="7" t="s">
        <v>9</v>
      </c>
      <c r="F58" s="7" t="s">
        <v>10</v>
      </c>
      <c r="G58" s="7" t="s">
        <v>11</v>
      </c>
      <c r="H58" s="7" t="s">
        <v>12</v>
      </c>
      <c r="I58" s="7" t="s">
        <v>13</v>
      </c>
      <c r="J58" s="7" t="s">
        <v>14</v>
      </c>
      <c r="M58" s="7" t="s">
        <v>7</v>
      </c>
      <c r="N58" s="7" t="s">
        <v>8</v>
      </c>
      <c r="O58" s="7" t="s">
        <v>9</v>
      </c>
      <c r="P58" s="7" t="s">
        <v>10</v>
      </c>
      <c r="Q58" s="7" t="s">
        <v>11</v>
      </c>
      <c r="R58" s="7" t="s">
        <v>12</v>
      </c>
      <c r="S58" s="7" t="s">
        <v>13</v>
      </c>
      <c r="T58" s="7" t="s">
        <v>14</v>
      </c>
    </row>
    <row r="59" spans="2:20" x14ac:dyDescent="0.45">
      <c r="C59" s="7">
        <v>1</v>
      </c>
      <c r="D59" s="7">
        <v>2</v>
      </c>
      <c r="E59" s="7">
        <v>3</v>
      </c>
      <c r="F59" s="7">
        <v>4</v>
      </c>
      <c r="G59" s="7">
        <v>5</v>
      </c>
      <c r="H59" s="7">
        <v>6</v>
      </c>
      <c r="I59" s="7">
        <v>7</v>
      </c>
      <c r="J59" s="7">
        <v>8</v>
      </c>
      <c r="M59" s="7">
        <v>1</v>
      </c>
      <c r="N59" s="7">
        <v>2</v>
      </c>
      <c r="O59" s="7">
        <v>3</v>
      </c>
      <c r="P59" s="7">
        <v>4</v>
      </c>
      <c r="Q59" s="7">
        <v>5</v>
      </c>
      <c r="R59" s="7">
        <v>6</v>
      </c>
      <c r="S59" s="7">
        <v>7</v>
      </c>
      <c r="T59" s="7">
        <v>8</v>
      </c>
    </row>
  </sheetData>
  <mergeCells count="8">
    <mergeCell ref="V14:AC14"/>
    <mergeCell ref="C49:J49"/>
    <mergeCell ref="K1:O1"/>
    <mergeCell ref="C24:J24"/>
    <mergeCell ref="M24:T24"/>
    <mergeCell ref="C36:J36"/>
    <mergeCell ref="M36:T36"/>
    <mergeCell ref="M49:T49"/>
  </mergeCells>
  <conditionalFormatting sqref="B2:I9">
    <cfRule type="expression" priority="1">
      <formula>$C$10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3C1682B-1EF9-4452-BBF7-0A1C93351AE1}">
            <xm:f>NOT(ISERROR(SEARCH($C$10,B2)))</xm:f>
            <xm:f>$C$10</xm:f>
            <x14:dxf/>
          </x14:cfRule>
          <xm:sqref>B2:I9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Harris</dc:creator>
  <cp:lastModifiedBy>Justin Harris</cp:lastModifiedBy>
  <dcterms:created xsi:type="dcterms:W3CDTF">2019-04-20T16:45:23Z</dcterms:created>
  <dcterms:modified xsi:type="dcterms:W3CDTF">2019-05-03T15:41:27Z</dcterms:modified>
</cp:coreProperties>
</file>